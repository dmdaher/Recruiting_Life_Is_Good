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1.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2.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3.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4.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5.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6.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7.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8.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19.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20.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21.xml" ContentType="application/vnd.openxmlformats-officedocument.drawing+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22.xml" ContentType="application/vnd.openxmlformats-officedocument.drawing+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23.xml" ContentType="application/vnd.openxmlformats-officedocument.drawing+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24.xml" ContentType="application/vnd.openxmlformats-officedocument.drawing+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3mdtech-my.sharepoint.com/personal/tara_rogers_denaliai_com/Documents/Desktop/"/>
    </mc:Choice>
  </mc:AlternateContent>
  <xr:revisionPtr revIDLastSave="0" documentId="8_{EECCA89C-9B9C-4F49-ABAB-CFA87AF7C77C}" xr6:coauthVersionLast="47" xr6:coauthVersionMax="47" xr10:uidLastSave="{00000000-0000-0000-0000-000000000000}"/>
  <bookViews>
    <workbookView xWindow="57480" yWindow="-120" windowWidth="51840" windowHeight="21120" xr2:uid="{3FC17C7B-2F67-4810-9CFD-85A52CEF274F}"/>
  </bookViews>
  <sheets>
    <sheet name="Open 3.23.2026 " sheetId="24" r:id="rId1"/>
    <sheet name="Open 3.19.2026" sheetId="23" r:id="rId2"/>
    <sheet name="Open 3.16.2026" sheetId="22" r:id="rId3"/>
    <sheet name="Open 3.12.2026 " sheetId="21" r:id="rId4"/>
    <sheet name="Open 3.09.2026" sheetId="20" r:id="rId5"/>
    <sheet name="Open 3.05.2026" sheetId="19" r:id="rId6"/>
    <sheet name="Open 3.02.2026" sheetId="18" r:id="rId7"/>
    <sheet name="Open 2.26.2026" sheetId="17" r:id="rId8"/>
    <sheet name="Open 2.23.2026" sheetId="16" r:id="rId9"/>
    <sheet name="Open 2.19.2026" sheetId="15" r:id="rId10"/>
    <sheet name="Open 2.16.2026 " sheetId="14" r:id="rId11"/>
    <sheet name="Open 2.12.2026 " sheetId="13" r:id="rId12"/>
    <sheet name="Open 2.09.2026" sheetId="12" r:id="rId13"/>
    <sheet name="Open 2.05.2026 " sheetId="11" r:id="rId14"/>
    <sheet name="Open 2.02.2026" sheetId="10" r:id="rId15"/>
    <sheet name="Open 1.29.2026" sheetId="9" r:id="rId16"/>
    <sheet name="Open 1.26.2026" sheetId="8" r:id="rId17"/>
    <sheet name="Open 1.22.2026" sheetId="7" r:id="rId18"/>
    <sheet name="Open 1.19.2026" sheetId="6" r:id="rId19"/>
    <sheet name="Open 1.15.2026" sheetId="5" r:id="rId20"/>
    <sheet name="Open 1.12.2026" sheetId="4" r:id="rId21"/>
    <sheet name="Open 1.08.2026" sheetId="3" r:id="rId22"/>
    <sheet name="Open 1.05.2026" sheetId="1" r:id="rId23"/>
    <sheet name="Trending" sheetId="2" r:id="rId24"/>
  </sheets>
  <definedNames>
    <definedName name="_xlnm._FilterDatabase" localSheetId="22" hidden="1">'Open 1.05.2026'!$A$3:$J$42</definedName>
    <definedName name="_xlnm._FilterDatabase" localSheetId="21" hidden="1">'Open 1.08.2026'!$A$3:$J$42</definedName>
    <definedName name="_xlnm._FilterDatabase" localSheetId="20" hidden="1">'Open 1.12.2026'!$A$3:$J$41</definedName>
    <definedName name="_xlnm._FilterDatabase" localSheetId="19" hidden="1">'Open 1.15.2026'!$A$3:$J$40</definedName>
    <definedName name="_xlnm._FilterDatabase" localSheetId="18" hidden="1">'Open 1.19.2026'!$A$3:$J$39</definedName>
    <definedName name="_xlnm._FilterDatabase" localSheetId="17" hidden="1">'Open 1.22.2026'!$A$3:$J$38</definedName>
    <definedName name="_xlnm._FilterDatabase" localSheetId="16" hidden="1">'Open 1.26.2026'!$A$3:$J$38</definedName>
    <definedName name="_xlnm._FilterDatabase" localSheetId="15" hidden="1">'Open 1.29.2026'!$A$3:$J$38</definedName>
    <definedName name="_xlnm._FilterDatabase" localSheetId="14" hidden="1">'Open 2.02.2026'!$A$3:$J$38</definedName>
    <definedName name="_xlnm._FilterDatabase" localSheetId="13" hidden="1">'Open 2.05.2026 '!$A$3:$J$31</definedName>
    <definedName name="_xlnm._FilterDatabase" localSheetId="12" hidden="1">'Open 2.09.2026'!$A$3:$J$30</definedName>
    <definedName name="_xlnm._FilterDatabase" localSheetId="11" hidden="1">'Open 2.12.2026 '!$A$3:$J$29</definedName>
    <definedName name="_xlnm._FilterDatabase" localSheetId="10" hidden="1">'Open 2.16.2026 '!$A$3:$J$29</definedName>
    <definedName name="_xlnm._FilterDatabase" localSheetId="9" hidden="1">'Open 2.19.2026'!$A$3:$J$29</definedName>
    <definedName name="_xlnm._FilterDatabase" localSheetId="8" hidden="1">'Open 2.23.2026'!$A$3:$J$29</definedName>
    <definedName name="_xlnm._FilterDatabase" localSheetId="7" hidden="1">'Open 2.26.2026'!$A$3:$J$29</definedName>
    <definedName name="_xlnm._FilterDatabase" localSheetId="6" hidden="1">'Open 3.02.2026'!$A$3:$J$29</definedName>
    <definedName name="_xlnm._FilterDatabase" localSheetId="5" hidden="1">'Open 3.05.2026'!$A$3:$J$29</definedName>
    <definedName name="_xlnm._FilterDatabase" localSheetId="4" hidden="1">'Open 3.09.2026'!$A$3:$J$29</definedName>
    <definedName name="_xlnm._FilterDatabase" localSheetId="3" hidden="1">'Open 3.12.2026 '!$A$3:$J$29</definedName>
    <definedName name="_xlnm._FilterDatabase" localSheetId="2" hidden="1">'Open 3.16.2026'!$A$3:$J$27</definedName>
    <definedName name="_xlnm._FilterDatabase" localSheetId="1" hidden="1">'Open 3.19.2026'!$A$3:$J$26</definedName>
    <definedName name="_xlnm._FilterDatabase" localSheetId="0" hidden="1">'Open 3.23.2026 '!$A$3:$J$25</definedName>
    <definedName name="_xlnm.Print_Area" localSheetId="22">'Open 1.05.2026'!$F$6:$J$20</definedName>
    <definedName name="_xlnm.Print_Area" localSheetId="21">'Open 1.08.2026'!$F$6:$J$20</definedName>
    <definedName name="_xlnm.Print_Area" localSheetId="20">'Open 1.12.2026'!$F$6:$J$19</definedName>
    <definedName name="_xlnm.Print_Area" localSheetId="19">'Open 1.15.2026'!$F$6:$J$19</definedName>
    <definedName name="_xlnm.Print_Area" localSheetId="18">'Open 1.19.2026'!$F$6:$J$18</definedName>
    <definedName name="_xlnm.Print_Area" localSheetId="17">'Open 1.22.2026'!$F$6:$J$18</definedName>
    <definedName name="_xlnm.Print_Area" localSheetId="16">'Open 1.26.2026'!$F$6:$J$18</definedName>
    <definedName name="_xlnm.Print_Area" localSheetId="15">'Open 1.29.2026'!$F$6:$J$18</definedName>
    <definedName name="_xlnm.Print_Area" localSheetId="14">'Open 2.02.2026'!$F$6:$J$18</definedName>
    <definedName name="_xlnm.Print_Area" localSheetId="13">'Open 2.05.2026 '!$F$6:$J$18</definedName>
    <definedName name="_xlnm.Print_Area" localSheetId="12">'Open 2.09.2026'!$F$6:$J$17</definedName>
    <definedName name="_xlnm.Print_Area" localSheetId="11">'Open 2.12.2026 '!$F$6:$J$16</definedName>
    <definedName name="_xlnm.Print_Area" localSheetId="10">'Open 2.16.2026 '!$F$6:$J$16</definedName>
    <definedName name="_xlnm.Print_Area" localSheetId="9">'Open 2.19.2026'!$F$6:$J$16</definedName>
    <definedName name="_xlnm.Print_Area" localSheetId="8">'Open 2.23.2026'!$F$6:$J$16</definedName>
    <definedName name="_xlnm.Print_Area" localSheetId="7">'Open 2.26.2026'!$F$6:$J$16</definedName>
    <definedName name="_xlnm.Print_Area" localSheetId="6">'Open 3.02.2026'!$F$6:$J$16</definedName>
    <definedName name="_xlnm.Print_Area" localSheetId="5">'Open 3.05.2026'!$F$6:$J$16</definedName>
    <definedName name="_xlnm.Print_Area" localSheetId="4">'Open 3.09.2026'!$F$6:$J$16</definedName>
    <definedName name="_xlnm.Print_Area" localSheetId="3">'Open 3.12.2026 '!$F$6:$J$16</definedName>
    <definedName name="_xlnm.Print_Area" localSheetId="2">'Open 3.16.2026'!$F$6:$J$14</definedName>
    <definedName name="_xlnm.Print_Area" localSheetId="1">'Open 3.19.2026'!$F$6:$J$13</definedName>
    <definedName name="_xlnm.Print_Area" localSheetId="0">'Open 3.23.2026 '!$F$6:$J$12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24" l="1"/>
  <c r="G44" i="24"/>
  <c r="C41" i="23"/>
  <c r="G41" i="23"/>
  <c r="G39" i="22"/>
  <c r="C39" i="22"/>
  <c r="C42" i="21"/>
  <c r="G42" i="21"/>
  <c r="C42" i="20"/>
  <c r="G42" i="20"/>
  <c r="G42" i="19"/>
  <c r="C42" i="19"/>
  <c r="G42" i="18"/>
  <c r="C42" i="18"/>
  <c r="C43" i="17"/>
  <c r="G43" i="17"/>
  <c r="G36" i="16"/>
  <c r="C36" i="16"/>
  <c r="C47" i="15"/>
  <c r="G36" i="15"/>
  <c r="C36" i="15"/>
  <c r="C50" i="14"/>
  <c r="G39" i="14"/>
  <c r="C39" i="14"/>
  <c r="G39" i="13"/>
  <c r="J39" i="13" s="1"/>
  <c r="C39" i="13"/>
  <c r="C50" i="13"/>
  <c r="C55" i="12"/>
  <c r="G35" i="12"/>
  <c r="C35" i="12"/>
  <c r="C82" i="10"/>
  <c r="C49" i="11"/>
  <c r="G36" i="11"/>
  <c r="C36" i="11"/>
  <c r="G46" i="10"/>
  <c r="J46" i="10" s="1"/>
  <c r="C46" i="10"/>
  <c r="C60" i="10"/>
  <c r="C46" i="9"/>
  <c r="C82" i="9"/>
  <c r="C60" i="9"/>
  <c r="G46" i="9"/>
  <c r="C46" i="8"/>
  <c r="C76" i="8"/>
  <c r="C60" i="8"/>
  <c r="G46" i="8"/>
  <c r="C76" i="7"/>
  <c r="C46" i="7"/>
  <c r="C60" i="7"/>
  <c r="G46" i="7"/>
  <c r="C47" i="6"/>
  <c r="C76" i="6"/>
  <c r="C61" i="6"/>
  <c r="G47" i="6"/>
  <c r="C77" i="5"/>
  <c r="G48" i="5"/>
  <c r="C48" i="5"/>
  <c r="C62" i="5"/>
  <c r="C43" i="4"/>
  <c r="C72" i="4"/>
  <c r="C57" i="4"/>
  <c r="G43" i="4"/>
  <c r="C71" i="3"/>
  <c r="C60" i="3"/>
  <c r="G46" i="3"/>
  <c r="C46" i="3"/>
  <c r="G47" i="1"/>
  <c r="J47" i="1" s="1"/>
  <c r="C47" i="1"/>
  <c r="J44" i="24" l="1"/>
  <c r="J41" i="23"/>
  <c r="J39" i="22"/>
  <c r="J42" i="21"/>
  <c r="J42" i="20"/>
  <c r="J42" i="19"/>
  <c r="J42" i="18"/>
  <c r="J43" i="17"/>
  <c r="J36" i="16"/>
  <c r="J36" i="15"/>
  <c r="J39" i="14"/>
  <c r="J35" i="12"/>
  <c r="J36" i="11"/>
  <c r="J46" i="9"/>
  <c r="J46" i="8"/>
  <c r="J46" i="7"/>
  <c r="J47" i="6"/>
  <c r="J48" i="5"/>
  <c r="J43" i="4"/>
  <c r="J46" i="3"/>
  <c r="C62" i="1"/>
  <c r="C73" i="1" l="1"/>
</calcChain>
</file>

<file path=xl/sharedStrings.xml><?xml version="1.0" encoding="utf-8"?>
<sst xmlns="http://schemas.openxmlformats.org/spreadsheetml/2006/main" count="9703" uniqueCount="365">
  <si>
    <t>Req#</t>
  </si>
  <si>
    <t>Date Open</t>
  </si>
  <si>
    <t># Positions</t>
  </si>
  <si>
    <t># Positions
Filled</t>
  </si>
  <si>
    <t>Title</t>
  </si>
  <si>
    <t>Recruiter</t>
  </si>
  <si>
    <t>Location</t>
  </si>
  <si>
    <t>Open</t>
  </si>
  <si>
    <t>Alex Espinosa</t>
  </si>
  <si>
    <t>Accepting Applications</t>
  </si>
  <si>
    <t>Req Target Date</t>
  </si>
  <si>
    <t>#/Reqs</t>
  </si>
  <si>
    <t>Gerou, Susan</t>
  </si>
  <si>
    <t>Redmond 1</t>
  </si>
  <si>
    <t>Missed Target Date</t>
  </si>
  <si>
    <t>Approaching Target Hire Date</t>
  </si>
  <si>
    <t>Within Target Date</t>
  </si>
  <si>
    <t>Nandini Mittal</t>
  </si>
  <si>
    <t>Filled Paperwork</t>
  </si>
  <si>
    <t>Redmond</t>
  </si>
  <si>
    <t>Not Accepting Applications</t>
  </si>
  <si>
    <t>Remote - India</t>
  </si>
  <si>
    <t>Remote - UK</t>
  </si>
  <si>
    <t>Ali El-Husseini</t>
  </si>
  <si>
    <t>Remote - WA</t>
  </si>
  <si>
    <t>Desktop Support Technician I</t>
  </si>
  <si>
    <t>Eisengruber, Timothy</t>
  </si>
  <si>
    <t>Hiring Manager</t>
  </si>
  <si>
    <t>Redmond 1; Remote - WA</t>
  </si>
  <si>
    <t>Configuration Technician I</t>
  </si>
  <si>
    <t>QA Tester II</t>
  </si>
  <si>
    <t>OPEN POSITIONS:</t>
  </si>
  <si>
    <t>On Hold</t>
  </si>
  <si>
    <t/>
  </si>
  <si>
    <t>HOLD  POSITIONS:                  1</t>
  </si>
  <si>
    <t xml:space="preserve">PENDING POSITIONS:          </t>
  </si>
  <si>
    <t>Date</t>
  </si>
  <si>
    <t>#/Open Postiions</t>
  </si>
  <si>
    <t>3/27/1010</t>
  </si>
  <si>
    <t>Boyer, Christopher</t>
  </si>
  <si>
    <t>Customer Success Manager I</t>
  </si>
  <si>
    <t>Automation Applications Engineer</t>
  </si>
  <si>
    <t>Soviak, Patrick</t>
  </si>
  <si>
    <t>Client Site</t>
  </si>
  <si>
    <t>Anania Tefera-Nandini Mittal</t>
  </si>
  <si>
    <t>Field Service Technician I</t>
  </si>
  <si>
    <t>Technical Support Specialist I</t>
  </si>
  <si>
    <t>Sunil Kumar</t>
  </si>
  <si>
    <t>Remote - IN</t>
  </si>
  <si>
    <t>Taylor, Nick</t>
  </si>
  <si>
    <t>Webster, Rebekah</t>
  </si>
  <si>
    <t>Billable/Non-Billable</t>
  </si>
  <si>
    <t>Status</t>
  </si>
  <si>
    <t>Accepting Applications?</t>
  </si>
  <si>
    <t>Technical Program Manager</t>
  </si>
  <si>
    <t>Pending Approval</t>
  </si>
  <si>
    <t>Pending</t>
  </si>
  <si>
    <t>PENDING HIRES:</t>
  </si>
  <si>
    <t>REMAINING OPEN POSITIONS:</t>
  </si>
  <si>
    <t>3289</t>
  </si>
  <si>
    <t>3313</t>
  </si>
  <si>
    <t>Klaiss, Stephen</t>
  </si>
  <si>
    <t>3314</t>
  </si>
  <si>
    <t>Quality Assurance Technician I</t>
  </si>
  <si>
    <t>Alex Espinosa (Alexandra Espinosa)</t>
  </si>
  <si>
    <t>Koester, Mathias</t>
  </si>
  <si>
    <t>3338</t>
  </si>
  <si>
    <t>Business Analyst I</t>
  </si>
  <si>
    <t>Sunil Kumar-Nandini Mittal</t>
  </si>
  <si>
    <t>3341</t>
  </si>
  <si>
    <t>Myers, Rose</t>
  </si>
  <si>
    <t>3352</t>
  </si>
  <si>
    <t>Desktop Support Technician II</t>
  </si>
  <si>
    <t>Mitchell, Christopher</t>
  </si>
  <si>
    <t>3362</t>
  </si>
  <si>
    <t>Data Engineer - Azure</t>
  </si>
  <si>
    <t>Nandini Mittal-Sunil Kumar</t>
  </si>
  <si>
    <t>Klatt, Cory</t>
  </si>
  <si>
    <t>3382</t>
  </si>
  <si>
    <t>Agency - Wheeler Staffing</t>
  </si>
  <si>
    <t>Haggerty, Michael</t>
  </si>
  <si>
    <t>3403</t>
  </si>
  <si>
    <t>Gardner, James</t>
  </si>
  <si>
    <t>3404</t>
  </si>
  <si>
    <t>Automation Sales Engineer</t>
  </si>
  <si>
    <t>3414</t>
  </si>
  <si>
    <t>Technical Sales Engineer II</t>
  </si>
  <si>
    <t>3416</t>
  </si>
  <si>
    <t>Senior Solutions Engineer</t>
  </si>
  <si>
    <t>3419</t>
  </si>
  <si>
    <t>Operations Manager</t>
  </si>
  <si>
    <t>Garrett IN</t>
  </si>
  <si>
    <t>3422</t>
  </si>
  <si>
    <t>Quality Engineer</t>
  </si>
  <si>
    <t>Alex Espinosa-Ali El-Husseini</t>
  </si>
  <si>
    <t>Schliemann, Lisanne</t>
  </si>
  <si>
    <t>3429</t>
  </si>
  <si>
    <t>Quality Manager</t>
  </si>
  <si>
    <t>Non-billable</t>
  </si>
  <si>
    <t>3430</t>
  </si>
  <si>
    <t>3434</t>
  </si>
  <si>
    <t>Sales Support Representative II</t>
  </si>
  <si>
    <t>Kriti Madan</t>
  </si>
  <si>
    <t>Devarsetty, Sheela</t>
  </si>
  <si>
    <t>3435</t>
  </si>
  <si>
    <t>Van Eaton, Robert</t>
  </si>
  <si>
    <t>3438</t>
  </si>
  <si>
    <t>Onsite Support Services Coordinator I</t>
  </si>
  <si>
    <t>3445</t>
  </si>
  <si>
    <t>Solutions Architect II</t>
  </si>
  <si>
    <t>Dennis Watts</t>
  </si>
  <si>
    <t>Daffron, Clayton</t>
  </si>
  <si>
    <t>3450</t>
  </si>
  <si>
    <t>Sethupathi Moorthi</t>
  </si>
  <si>
    <t>3451</t>
  </si>
  <si>
    <t>Service Engagement Manager II</t>
  </si>
  <si>
    <t>3452</t>
  </si>
  <si>
    <t>Senelly, Marco</t>
  </si>
  <si>
    <t>Garrett IN; Remote - IN</t>
  </si>
  <si>
    <t>3454</t>
  </si>
  <si>
    <t>Project Manager I</t>
  </si>
  <si>
    <t>Assi, Leyla</t>
  </si>
  <si>
    <t>3455</t>
  </si>
  <si>
    <t>Project Manager III</t>
  </si>
  <si>
    <t>Hire more experienced &amp; qualified project managers</t>
  </si>
  <si>
    <t>3458</t>
  </si>
  <si>
    <t>Logistics Coordinator/Analyst I</t>
  </si>
  <si>
    <t>Bizzi, Fabio</t>
  </si>
  <si>
    <t>3459</t>
  </si>
  <si>
    <t>Shipping + Receiving Clerk</t>
  </si>
  <si>
    <t>3460</t>
  </si>
  <si>
    <t xml:space="preserve">Billable </t>
  </si>
  <si>
    <t>3461</t>
  </si>
  <si>
    <t>Director, Emerging Business &amp; Innovation</t>
  </si>
  <si>
    <t>Daher, Devin</t>
  </si>
  <si>
    <t>3464</t>
  </si>
  <si>
    <t>Logistics Coordinator II</t>
  </si>
  <si>
    <t>Taghizadeh, Salar</t>
  </si>
  <si>
    <t>3465</t>
  </si>
  <si>
    <t>Celina Aguilar</t>
  </si>
  <si>
    <t>Davis, Corrin</t>
  </si>
  <si>
    <t>3466</t>
  </si>
  <si>
    <t>Field Service Technician II</t>
  </si>
  <si>
    <t>3467</t>
  </si>
  <si>
    <t>3472</t>
  </si>
  <si>
    <t>Cornejo, Teagan</t>
  </si>
  <si>
    <t>3475</t>
  </si>
  <si>
    <t>Principal Project Engineer</t>
  </si>
  <si>
    <t>Anania Tefera</t>
  </si>
  <si>
    <t>Liguori, Frederick</t>
  </si>
  <si>
    <t>3476</t>
  </si>
  <si>
    <t>Mechanical Engineer III</t>
  </si>
  <si>
    <t>3477</t>
  </si>
  <si>
    <t>DevOps Engineer I</t>
  </si>
  <si>
    <t>3479</t>
  </si>
  <si>
    <t>Controls Engineer III</t>
  </si>
  <si>
    <t>Worle, Juan</t>
  </si>
  <si>
    <t>3480</t>
  </si>
  <si>
    <t>Vendor Alliance Manager</t>
  </si>
  <si>
    <t>Ward, Jennifer</t>
  </si>
  <si>
    <t>3481</t>
  </si>
  <si>
    <t>IT Support Associate I</t>
  </si>
  <si>
    <t>3483</t>
  </si>
  <si>
    <t>3485</t>
  </si>
  <si>
    <t>Sr. Customer Success Specialist</t>
  </si>
  <si>
    <t>Kanchev, Nikol</t>
  </si>
  <si>
    <t>Confidential</t>
  </si>
  <si>
    <t>3386</t>
  </si>
  <si>
    <t>Network Engineer II CA</t>
  </si>
  <si>
    <t>Billable, Project Kuiper - Fully billable role, backfill position for internal transfer</t>
  </si>
  <si>
    <t>3402</t>
  </si>
  <si>
    <t>Systems and Network Administrator</t>
  </si>
  <si>
    <t>3484</t>
  </si>
  <si>
    <t>Senior Account Executive</t>
  </si>
  <si>
    <t>This is a technical sales person based on Boston, MA. This is a base + commissions role that will have a total OTE of 250k to 325k</t>
  </si>
  <si>
    <t>Daher, Khaled</t>
  </si>
  <si>
    <t>Remote - Massachusetts</t>
  </si>
  <si>
    <t>01/05/20206</t>
  </si>
  <si>
    <t>3486</t>
  </si>
  <si>
    <t>DevOps Engineer II</t>
  </si>
  <si>
    <t>Koi, Levi</t>
  </si>
  <si>
    <t>3489</t>
  </si>
  <si>
    <t>Sr Technical Architect- SAP</t>
  </si>
  <si>
    <t>Tara Rogers</t>
  </si>
  <si>
    <t>3488</t>
  </si>
  <si>
    <t>Antonio Ducay</t>
  </si>
  <si>
    <t>Geaney, Joan</t>
  </si>
  <si>
    <t>3490</t>
  </si>
  <si>
    <t>3491</t>
  </si>
  <si>
    <t>6 month Fixed term contract for cost saving</t>
  </si>
  <si>
    <t>Director, Project Management Office</t>
  </si>
  <si>
    <t>Gunn, Kevin</t>
  </si>
  <si>
    <t>3492</t>
  </si>
  <si>
    <t>Electrical Engineer</t>
  </si>
  <si>
    <t>Remote - Lebanon</t>
  </si>
  <si>
    <t>3493</t>
  </si>
  <si>
    <t>Remote - TX</t>
  </si>
  <si>
    <t>3494</t>
  </si>
  <si>
    <t>3495</t>
  </si>
  <si>
    <t>QA Tester I</t>
  </si>
  <si>
    <t>Billable</t>
  </si>
  <si>
    <t>Network Engineer II</t>
  </si>
  <si>
    <t>3496</t>
  </si>
  <si>
    <t>Kozina, Kurt</t>
  </si>
  <si>
    <t>3497</t>
  </si>
  <si>
    <t>Innovation AI Developer II</t>
  </si>
  <si>
    <t>Daher, Gavin</t>
  </si>
  <si>
    <t>3498</t>
  </si>
  <si>
    <t>Sr. Technical Sales Engineer</t>
  </si>
  <si>
    <t>3499</t>
  </si>
  <si>
    <t>Senior Innovation AI Developer</t>
  </si>
  <si>
    <t>3500</t>
  </si>
  <si>
    <t>Agency-Lynx Recruitment</t>
  </si>
  <si>
    <t>3501</t>
  </si>
  <si>
    <t>Service Desk Analyst I</t>
  </si>
  <si>
    <t>Wendt, Ryan</t>
  </si>
  <si>
    <t>Remote - El Salvador</t>
  </si>
  <si>
    <t>3502</t>
  </si>
  <si>
    <t>Senior Project Manager</t>
  </si>
  <si>
    <t>Agency-Rocket Staffing</t>
  </si>
  <si>
    <t>Agency-The Functionary</t>
  </si>
  <si>
    <t>3503</t>
  </si>
  <si>
    <t>3504</t>
  </si>
  <si>
    <t>Software Architect II</t>
  </si>
  <si>
    <t>3506</t>
  </si>
  <si>
    <t>DevOps Engineer III</t>
  </si>
  <si>
    <t>3507</t>
  </si>
  <si>
    <t>Software Engineer II</t>
  </si>
  <si>
    <t>3508</t>
  </si>
  <si>
    <t>3509</t>
  </si>
  <si>
    <t>3510</t>
  </si>
  <si>
    <t>3511</t>
  </si>
  <si>
    <t>Inventory Control Specialist I</t>
  </si>
  <si>
    <t>3512</t>
  </si>
  <si>
    <t>3513</t>
  </si>
  <si>
    <t>Agency-Staffing Technologies</t>
  </si>
  <si>
    <t>Project Manager II</t>
  </si>
  <si>
    <t>3514</t>
  </si>
  <si>
    <t>QA Tester III</t>
  </si>
  <si>
    <t>3515</t>
  </si>
  <si>
    <t>Customer Success Specialist</t>
  </si>
  <si>
    <t>3517</t>
  </si>
  <si>
    <t>Redmond 1; Remote - South Carolina</t>
  </si>
  <si>
    <t>3518</t>
  </si>
  <si>
    <t>Sales Support Representative III</t>
  </si>
  <si>
    <t>3520</t>
  </si>
  <si>
    <t>3521</t>
  </si>
  <si>
    <t>3522</t>
  </si>
  <si>
    <t>Tribble, Richelle</t>
  </si>
  <si>
    <t>3523</t>
  </si>
  <si>
    <t>Remote - MX</t>
  </si>
  <si>
    <t>3516</t>
  </si>
  <si>
    <t>Murphy, Thomas</t>
  </si>
  <si>
    <t>3524</t>
  </si>
  <si>
    <t>3525</t>
  </si>
  <si>
    <t>3526</t>
  </si>
  <si>
    <t>Director Software &amp; Automation Solutions</t>
  </si>
  <si>
    <t>3527</t>
  </si>
  <si>
    <t>Principal Consultant</t>
  </si>
  <si>
    <t>Agency-Field Naiton</t>
  </si>
  <si>
    <t>Ali El-Husseini-Anania Tefera</t>
  </si>
  <si>
    <t>3528</t>
  </si>
  <si>
    <t>Human Resource Generalist II</t>
  </si>
  <si>
    <t>Administrative Assistant I</t>
  </si>
  <si>
    <t>3529</t>
  </si>
  <si>
    <t>3530</t>
  </si>
  <si>
    <t>Pending Positions:</t>
  </si>
  <si>
    <t>3531</t>
  </si>
  <si>
    <t>Account Executive I</t>
  </si>
  <si>
    <t>Rudkin, Daniel</t>
  </si>
  <si>
    <t>3532</t>
  </si>
  <si>
    <t>Ahearn, Lauren</t>
  </si>
  <si>
    <t>Agency-Logistics Plus</t>
  </si>
  <si>
    <t>billable</t>
  </si>
  <si>
    <t>Nandini Mittal-Ali El-Husseini</t>
  </si>
  <si>
    <t>3533</t>
  </si>
  <si>
    <t>3534</t>
  </si>
  <si>
    <t>3535</t>
  </si>
  <si>
    <t>Dynamics 365 ERP - Finance Application Specia</t>
  </si>
  <si>
    <t>3536</t>
  </si>
  <si>
    <t>3537</t>
  </si>
  <si>
    <t>Principal Technical Sales Engineer</t>
  </si>
  <si>
    <t>Remote - MI</t>
  </si>
  <si>
    <t>D365 - Finance Application Specialist</t>
  </si>
  <si>
    <t>3538</t>
  </si>
  <si>
    <t>ServiceNow Developer III</t>
  </si>
  <si>
    <t>Hoang, Thien-an</t>
  </si>
  <si>
    <t>Redmond 1; Garrett IN</t>
  </si>
  <si>
    <t>3540</t>
  </si>
  <si>
    <t>3541</t>
  </si>
  <si>
    <t>Remote - Guatemala</t>
  </si>
  <si>
    <t>3542</t>
  </si>
  <si>
    <t>Director Global Program Management Office</t>
  </si>
  <si>
    <t>3543</t>
  </si>
  <si>
    <t>Innovation AI Intern</t>
  </si>
  <si>
    <t>Senior Director, Service Delivery</t>
  </si>
  <si>
    <t>3539</t>
  </si>
  <si>
    <t>Sales Operations Manager - India</t>
  </si>
  <si>
    <t>Breon, Eugenia</t>
  </si>
  <si>
    <t>3544</t>
  </si>
  <si>
    <t>3545</t>
  </si>
  <si>
    <t>Mobile Device Administrator I</t>
  </si>
  <si>
    <t>Liu, Yi</t>
  </si>
  <si>
    <t>3546</t>
  </si>
  <si>
    <t>3547</t>
  </si>
  <si>
    <t>Sunil Kumar-Anania Tefera-Dennis Watts</t>
  </si>
  <si>
    <t>Sunil Kumar-Anania Tefera</t>
  </si>
  <si>
    <t>3548</t>
  </si>
  <si>
    <t>Remote - Australia</t>
  </si>
  <si>
    <t>3550</t>
  </si>
  <si>
    <t>Palmer, Karen</t>
  </si>
  <si>
    <t>Redmond 3</t>
  </si>
  <si>
    <t>Sunil Kumar-Sethupathi Moorthi</t>
  </si>
  <si>
    <t>Alex Espinosa-Sethupathi Moorthi</t>
  </si>
  <si>
    <t>Anania Tefera-Ali El-Husseini</t>
  </si>
  <si>
    <t>Sunil Kumar-Ali El-Husseini</t>
  </si>
  <si>
    <t>Agency-LaptopCo</t>
  </si>
  <si>
    <t>3551</t>
  </si>
  <si>
    <t>Automation Technician I</t>
  </si>
  <si>
    <t>3552</t>
  </si>
  <si>
    <t>Principal Software Development Engineer</t>
  </si>
  <si>
    <t>Hofstead, Joel</t>
  </si>
  <si>
    <t>3553</t>
  </si>
  <si>
    <t>Senior DevOps Engineer</t>
  </si>
  <si>
    <t>3555</t>
  </si>
  <si>
    <t>3554</t>
  </si>
  <si>
    <t>Accountant Receivables III</t>
  </si>
  <si>
    <t>Conner, Molly</t>
  </si>
  <si>
    <t>Redmond 2</t>
  </si>
  <si>
    <t>3557</t>
  </si>
  <si>
    <t>3558</t>
  </si>
  <si>
    <t>3559</t>
  </si>
  <si>
    <t>Sr Engineering Manager, Avionics Test Systems</t>
  </si>
  <si>
    <t>Dennis Watts-Sunil Kumar-Sethupathi Moorthi</t>
  </si>
  <si>
    <t>DevOps Engineer III - AWS Platform</t>
  </si>
  <si>
    <t>3560</t>
  </si>
  <si>
    <t>Account Executive II</t>
  </si>
  <si>
    <t>3561</t>
  </si>
  <si>
    <t>3562</t>
  </si>
  <si>
    <t>3563</t>
  </si>
  <si>
    <t>3564</t>
  </si>
  <si>
    <t>Lee, Alice</t>
  </si>
  <si>
    <t>3566</t>
  </si>
  <si>
    <t>Automation Application Engineer II</t>
  </si>
  <si>
    <t>3567</t>
  </si>
  <si>
    <t>Markowitz, Gabriel</t>
  </si>
  <si>
    <t>3569</t>
  </si>
  <si>
    <t>3570</t>
  </si>
  <si>
    <t>Katie Kilcoyne</t>
  </si>
  <si>
    <t>Long, Justin</t>
  </si>
  <si>
    <t>3571</t>
  </si>
  <si>
    <t xml:space="preserve">This is replacing a fully billable employee. We have a candidate who we interviewed that used to work for Denali (Max Tammen) who we would like to hire for this position. He will not only be supporting UW, but other customers as a "floater". This is much needed across these projects to support time off and customer need. </t>
  </si>
  <si>
    <t>3572</t>
  </si>
  <si>
    <t>QA Engineer II</t>
  </si>
  <si>
    <t>Remote - Kansas</t>
  </si>
  <si>
    <t>3573</t>
  </si>
  <si>
    <t>Customer Success Manager II</t>
  </si>
  <si>
    <t>3574</t>
  </si>
  <si>
    <t>3568</t>
  </si>
  <si>
    <t>Knight, JoelDanna</t>
  </si>
  <si>
    <t>3576</t>
  </si>
  <si>
    <t>Data Analyst</t>
  </si>
  <si>
    <t>3577</t>
  </si>
  <si>
    <t>Software Engineer</t>
  </si>
  <si>
    <t>Billable - This is for Aswini Pabbisetty as they are being brought on per the clients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</si>
</sst>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
  </numFmts>
  <fonts count="13" x14ac:knownFonts="1">
    <font>
      <sz val="11"/>
      <color theme="1"/>
      <name val="Aptos Narrow"/>
      <family val="2"/>
      <scheme val="minor"/>
    </font>
    <font>
      <sz val="11"/>
      <color rgb="FFFF0000"/>
      <name val="Aptos Narrow"/>
      <family val="2"/>
      <scheme val="minor"/>
    </font>
    <font>
      <b/>
      <sz val="11"/>
      <color theme="1"/>
      <name val="Calibri"/>
      <family val="2"/>
    </font>
    <font>
      <sz val="11"/>
      <color theme="1"/>
      <name val="Calibri"/>
      <family val="2"/>
    </font>
    <font>
      <sz val="11"/>
      <name val="Calibri"/>
      <family val="2"/>
    </font>
    <font>
      <sz val="10"/>
      <name val="Calibri"/>
      <family val="2"/>
    </font>
    <font>
      <b/>
      <sz val="11"/>
      <name val="Aptos Narrow"/>
      <family val="2"/>
      <scheme val="minor"/>
    </font>
    <font>
      <sz val="10"/>
      <color rgb="FFFF0000"/>
      <name val="Calibri"/>
      <family val="2"/>
    </font>
    <font>
      <sz val="11"/>
      <name val="Calibri"/>
      <family val="2"/>
    </font>
    <font>
      <sz val="10"/>
      <name val="Arial"/>
      <family val="2"/>
    </font>
    <font>
      <sz val="10"/>
      <color theme="1"/>
      <name val="Arial"/>
      <family val="2"/>
    </font>
    <font>
      <sz val="11"/>
      <name val="Calibri"/>
      <family val="2"/>
    </font>
    <font>
      <sz val="11"/>
      <name val="Calibri"/>
    </font>
  </fonts>
  <fills count="8">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theme="5" tint="0.39997558519241921"/>
        <bgColor indexed="64"/>
      </patternFill>
    </fill>
    <fill>
      <patternFill patternType="solid">
        <fgColor rgb="FFC4D0F2"/>
        <bgColor indexed="64"/>
      </patternFill>
    </fill>
    <fill>
      <patternFill patternType="solid">
        <fgColor rgb="FFE7E165"/>
        <bgColor indexed="64"/>
      </patternFill>
    </fill>
    <fill>
      <patternFill patternType="solid">
        <fgColor theme="9"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80">
    <xf numFmtId="0" fontId="0" fillId="0" borderId="0" xfId="0"/>
    <xf numFmtId="14" fontId="2" fillId="0" borderId="0" xfId="0" applyNumberFormat="1" applyFont="1" applyAlignment="1">
      <alignment horizontal="center"/>
    </xf>
    <xf numFmtId="0" fontId="3" fillId="0" borderId="0" xfId="0" applyFont="1" applyAlignment="1">
      <alignment horizontal="center" vertical="center"/>
    </xf>
    <xf numFmtId="0" fontId="3" fillId="0" borderId="0" xfId="0" applyFont="1" applyAlignment="1">
      <alignment horizontal="center"/>
    </xf>
    <xf numFmtId="0" fontId="3" fillId="0" borderId="0" xfId="0" applyFont="1"/>
    <xf numFmtId="0" fontId="0" fillId="0" borderId="0" xfId="0" applyAlignment="1">
      <alignment horizontal="center" vertical="center"/>
    </xf>
    <xf numFmtId="0" fontId="2" fillId="0" borderId="0" xfId="0" applyFont="1" applyAlignment="1">
      <alignment horizont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0" fontId="5" fillId="0" borderId="0" xfId="0" applyFont="1" applyAlignment="1">
      <alignment horizontal="center" vertical="center"/>
    </xf>
    <xf numFmtId="165" fontId="5" fillId="0" borderId="0" xfId="0" applyNumberFormat="1" applyFont="1" applyAlignment="1">
      <alignment horizontal="center" vertical="center"/>
    </xf>
    <xf numFmtId="165" fontId="6" fillId="2" borderId="3" xfId="0" applyNumberFormat="1" applyFont="1" applyFill="1" applyBorder="1" applyAlignment="1">
      <alignment horizontal="center" vertical="center"/>
    </xf>
    <xf numFmtId="0" fontId="7" fillId="0" borderId="0" xfId="0" applyFont="1" applyAlignment="1">
      <alignment horizontal="center" vertical="center"/>
    </xf>
    <xf numFmtId="0" fontId="0" fillId="0" borderId="0" xfId="0" applyAlignment="1">
      <alignment vertical="center"/>
    </xf>
    <xf numFmtId="0" fontId="8" fillId="0" borderId="1" xfId="0" applyFont="1" applyBorder="1" applyAlignment="1">
      <alignment horizontal="center" vertical="center"/>
    </xf>
    <xf numFmtId="164" fontId="8" fillId="0" borderId="1" xfId="0" applyNumberFormat="1" applyFont="1" applyBorder="1" applyAlignment="1">
      <alignment horizontal="center" vertical="center"/>
    </xf>
    <xf numFmtId="165" fontId="8" fillId="0" borderId="1" xfId="0" applyNumberFormat="1" applyFont="1" applyBorder="1" applyAlignment="1">
      <alignment horizontal="center" vertical="center"/>
    </xf>
    <xf numFmtId="0" fontId="3" fillId="0" borderId="0" xfId="0" applyFont="1" applyAlignment="1">
      <alignment vertical="center"/>
    </xf>
    <xf numFmtId="0" fontId="9" fillId="0" borderId="1" xfId="0" applyFont="1" applyBorder="1" applyAlignment="1">
      <alignment horizontal="center" vertical="center"/>
    </xf>
    <xf numFmtId="164" fontId="9" fillId="0" borderId="1" xfId="0" applyNumberFormat="1" applyFont="1" applyBorder="1" applyAlignment="1">
      <alignment horizontal="center" vertical="center"/>
    </xf>
    <xf numFmtId="165" fontId="9" fillId="0" borderId="1" xfId="0" applyNumberFormat="1" applyFont="1" applyBorder="1" applyAlignment="1">
      <alignment horizontal="center" vertical="center"/>
    </xf>
    <xf numFmtId="165" fontId="2" fillId="4" borderId="3" xfId="0" applyNumberFormat="1" applyFont="1" applyFill="1" applyBorder="1" applyAlignment="1">
      <alignment horizontal="center" vertical="center"/>
    </xf>
    <xf numFmtId="14" fontId="0" fillId="0" borderId="0" xfId="0" applyNumberFormat="1"/>
    <xf numFmtId="14" fontId="1" fillId="0" borderId="0" xfId="0" applyNumberFormat="1" applyFont="1"/>
    <xf numFmtId="0" fontId="1" fillId="0" borderId="0" xfId="0" applyFont="1"/>
    <xf numFmtId="18" fontId="2" fillId="0" borderId="0" xfId="0" applyNumberFormat="1" applyFont="1" applyAlignment="1">
      <alignment horizontal="center" vertical="center"/>
    </xf>
    <xf numFmtId="0" fontId="2" fillId="0" borderId="0" xfId="0" applyFont="1" applyAlignment="1">
      <alignment horizontal="center" vertical="center"/>
    </xf>
    <xf numFmtId="0" fontId="2" fillId="5" borderId="1" xfId="0" applyFont="1" applyFill="1" applyBorder="1" applyAlignment="1">
      <alignment horizontal="center" vertical="center" wrapText="1"/>
    </xf>
    <xf numFmtId="165" fontId="3" fillId="0" borderId="0" xfId="0" applyNumberFormat="1" applyFont="1" applyAlignment="1">
      <alignment horizontal="center" vertical="center"/>
    </xf>
    <xf numFmtId="165" fontId="2" fillId="3" borderId="5" xfId="0" applyNumberFormat="1" applyFont="1" applyFill="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xf>
    <xf numFmtId="0" fontId="2" fillId="3" borderId="4" xfId="0" applyFont="1" applyFill="1" applyBorder="1" applyAlignment="1">
      <alignment horizontal="left" vertical="center"/>
    </xf>
    <xf numFmtId="0" fontId="2" fillId="2" borderId="2" xfId="0" applyFont="1" applyFill="1" applyBorder="1" applyAlignment="1">
      <alignment horizontal="left" vertical="center"/>
    </xf>
    <xf numFmtId="0" fontId="2" fillId="6" borderId="2" xfId="0" applyFont="1" applyFill="1" applyBorder="1" applyAlignment="1">
      <alignment horizontal="left" vertical="center"/>
    </xf>
    <xf numFmtId="165" fontId="6" fillId="6" borderId="3" xfId="0" applyNumberFormat="1" applyFont="1" applyFill="1" applyBorder="1" applyAlignment="1">
      <alignment horizontal="center" vertical="center"/>
    </xf>
    <xf numFmtId="14" fontId="2" fillId="0" borderId="0" xfId="0" applyNumberFormat="1" applyFont="1" applyAlignment="1">
      <alignment horizontal="center" vertical="center"/>
    </xf>
    <xf numFmtId="0" fontId="2" fillId="4" borderId="2" xfId="0" applyFont="1" applyFill="1" applyBorder="1" applyAlignment="1">
      <alignment horizontal="left" vertical="center"/>
    </xf>
    <xf numFmtId="165" fontId="2" fillId="4" borderId="3" xfId="0" applyNumberFormat="1" applyFont="1" applyFill="1" applyBorder="1" applyAlignment="1">
      <alignment horizontal="center"/>
    </xf>
    <xf numFmtId="0" fontId="4" fillId="0" borderId="0" xfId="0" applyFont="1" applyAlignment="1">
      <alignment horizontal="left"/>
    </xf>
    <xf numFmtId="164" fontId="4" fillId="0" borderId="0" xfId="0" applyNumberFormat="1" applyFont="1" applyAlignment="1">
      <alignment horizontal="left"/>
    </xf>
    <xf numFmtId="165" fontId="4" fillId="0" borderId="0" xfId="0" applyNumberFormat="1" applyFont="1" applyAlignment="1">
      <alignment horizontal="left"/>
    </xf>
    <xf numFmtId="0" fontId="4" fillId="0" borderId="1" xfId="0" applyFont="1" applyBorder="1" applyAlignment="1">
      <alignment horizontal="left"/>
    </xf>
    <xf numFmtId="164" fontId="4" fillId="0" borderId="1" xfId="0" applyNumberFormat="1" applyFont="1" applyBorder="1" applyAlignment="1">
      <alignment horizontal="left"/>
    </xf>
    <xf numFmtId="165" fontId="4" fillId="0" borderId="1" xfId="0" applyNumberFormat="1" applyFont="1" applyBorder="1" applyAlignment="1">
      <alignment horizontal="left"/>
    </xf>
    <xf numFmtId="0" fontId="4" fillId="7" borderId="1" xfId="0" applyFont="1" applyFill="1" applyBorder="1" applyAlignment="1">
      <alignment horizontal="left"/>
    </xf>
    <xf numFmtId="0" fontId="9" fillId="0" borderId="6" xfId="0" applyFont="1" applyBorder="1" applyAlignment="1">
      <alignment horizontal="center" vertical="center"/>
    </xf>
    <xf numFmtId="164" fontId="9" fillId="0" borderId="6" xfId="0" applyNumberFormat="1" applyFont="1" applyBorder="1" applyAlignment="1">
      <alignment horizontal="center" vertical="center"/>
    </xf>
    <xf numFmtId="165" fontId="9" fillId="0" borderId="6" xfId="0" applyNumberFormat="1" applyFont="1" applyBorder="1" applyAlignment="1">
      <alignment horizontal="center" vertical="center"/>
    </xf>
    <xf numFmtId="0" fontId="3" fillId="0" borderId="6" xfId="0" applyFont="1" applyBorder="1" applyAlignment="1">
      <alignment horizontal="center" vertical="center"/>
    </xf>
    <xf numFmtId="0" fontId="9" fillId="0" borderId="0" xfId="0" applyFont="1" applyAlignment="1">
      <alignment horizontal="center" vertical="center"/>
    </xf>
    <xf numFmtId="164" fontId="9" fillId="0" borderId="0" xfId="0" applyNumberFormat="1" applyFont="1" applyAlignment="1">
      <alignment horizontal="center" vertical="center"/>
    </xf>
    <xf numFmtId="165" fontId="9" fillId="0" borderId="0" xfId="0" applyNumberFormat="1" applyFont="1" applyAlignment="1">
      <alignment horizontal="center" vertical="center"/>
    </xf>
    <xf numFmtId="16" fontId="0" fillId="0" borderId="0" xfId="0" applyNumberFormat="1"/>
    <xf numFmtId="0" fontId="4" fillId="0" borderId="0" xfId="0" applyFont="1" applyAlignment="1">
      <alignment horizontal="center" vertical="center"/>
    </xf>
    <xf numFmtId="164" fontId="4" fillId="0" borderId="0" xfId="0" applyNumberFormat="1" applyFont="1" applyAlignment="1">
      <alignment horizontal="center" vertical="center"/>
    </xf>
    <xf numFmtId="165" fontId="4" fillId="0" borderId="0" xfId="0" applyNumberFormat="1" applyFont="1" applyAlignment="1">
      <alignment horizontal="center" vertical="center"/>
    </xf>
    <xf numFmtId="0" fontId="10" fillId="0" borderId="1" xfId="0" applyFont="1" applyBorder="1" applyAlignment="1">
      <alignment horizontal="center" vertical="center"/>
    </xf>
    <xf numFmtId="0" fontId="9" fillId="7" borderId="1" xfId="0" applyFont="1" applyFill="1" applyBorder="1" applyAlignment="1">
      <alignment horizontal="center" vertical="center"/>
    </xf>
    <xf numFmtId="0" fontId="2" fillId="3" borderId="2" xfId="0" applyFont="1" applyFill="1" applyBorder="1" applyAlignment="1">
      <alignment horizontal="left" vertical="center"/>
    </xf>
    <xf numFmtId="165" fontId="2" fillId="3" borderId="3" xfId="0" applyNumberFormat="1" applyFont="1" applyFill="1" applyBorder="1" applyAlignment="1">
      <alignment horizontal="center" vertical="center"/>
    </xf>
    <xf numFmtId="0" fontId="2" fillId="5" borderId="6" xfId="0" applyFont="1" applyFill="1" applyBorder="1" applyAlignment="1">
      <alignment horizontal="center" vertical="center" wrapText="1"/>
    </xf>
    <xf numFmtId="0" fontId="10" fillId="0" borderId="0" xfId="0" applyFont="1" applyAlignment="1">
      <alignment horizontal="center" vertical="center"/>
    </xf>
    <xf numFmtId="0" fontId="11" fillId="0" borderId="1" xfId="0" applyFont="1" applyBorder="1" applyAlignment="1">
      <alignment horizontal="left"/>
    </xf>
    <xf numFmtId="164" fontId="11" fillId="0" borderId="1" xfId="0" applyNumberFormat="1" applyFont="1" applyBorder="1" applyAlignment="1">
      <alignment horizontal="left"/>
    </xf>
    <xf numFmtId="165" fontId="11" fillId="0" borderId="1" xfId="0" applyNumberFormat="1" applyFont="1" applyBorder="1" applyAlignment="1">
      <alignment horizontal="left"/>
    </xf>
    <xf numFmtId="0" fontId="4" fillId="0" borderId="7" xfId="0" applyFont="1" applyBorder="1" applyAlignment="1">
      <alignment horizontal="left"/>
    </xf>
    <xf numFmtId="164" fontId="4" fillId="0" borderId="7" xfId="0" applyNumberFormat="1" applyFont="1" applyBorder="1" applyAlignment="1">
      <alignment horizontal="left"/>
    </xf>
    <xf numFmtId="165" fontId="4" fillId="0" borderId="7" xfId="0" applyNumberFormat="1" applyFont="1" applyBorder="1" applyAlignment="1">
      <alignment horizontal="left"/>
    </xf>
    <xf numFmtId="0" fontId="11" fillId="0" borderId="0" xfId="0" applyFont="1" applyAlignment="1">
      <alignment horizontal="left"/>
    </xf>
    <xf numFmtId="164" fontId="11" fillId="0" borderId="0" xfId="0" applyNumberFormat="1" applyFont="1" applyAlignment="1">
      <alignment horizontal="left"/>
    </xf>
    <xf numFmtId="165" fontId="11" fillId="0" borderId="0" xfId="0" applyNumberFormat="1" applyFont="1" applyAlignment="1">
      <alignment horizontal="left"/>
    </xf>
    <xf numFmtId="0" fontId="12" fillId="0" borderId="1" xfId="0" applyFont="1" applyBorder="1" applyAlignment="1">
      <alignment horizontal="left"/>
    </xf>
    <xf numFmtId="164" fontId="12" fillId="0" borderId="1" xfId="0" applyNumberFormat="1" applyFont="1" applyBorder="1" applyAlignment="1">
      <alignment horizontal="left"/>
    </xf>
    <xf numFmtId="165" fontId="12" fillId="0" borderId="1" xfId="0" applyNumberFormat="1" applyFont="1" applyBorder="1" applyAlignment="1">
      <alignment horizontal="left"/>
    </xf>
    <xf numFmtId="0" fontId="0" fillId="0" borderId="1" xfId="0" applyBorder="1" applyAlignment="1">
      <alignment horizontal="left"/>
    </xf>
    <xf numFmtId="0" fontId="12" fillId="0" borderId="0" xfId="0" applyFont="1" applyAlignment="1">
      <alignment horizontal="left"/>
    </xf>
    <xf numFmtId="164" fontId="12" fillId="0" borderId="0" xfId="0" applyNumberFormat="1" applyFont="1" applyAlignment="1">
      <alignment horizontal="left"/>
    </xf>
    <xf numFmtId="165" fontId="12" fillId="0" borderId="0" xfId="0" applyNumberFormat="1" applyFont="1" applyAlignment="1">
      <alignment horizontal="left"/>
    </xf>
  </cellXfs>
  <cellStyles count="1">
    <cellStyle name="Normal" xfId="0" builtinId="0"/>
  </cellStyles>
  <dxfs count="348">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colors>
    <mruColors>
      <color rgb="FFE7E165"/>
      <color rgb="FFC4D0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172-49A4-B76B-B3BEDF9C6EC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172-49A4-B76B-B3BEDF9C6EC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172-49A4-B76B-B3BEDF9C6EC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8172-49A4-B76B-B3BEDF9C6EC7}"/>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Trending!$B$123:$B$132</c:f>
              <c:numCache>
                <c:formatCode>m/d/yyyy</c:formatCode>
                <c:ptCount val="10"/>
                <c:pt idx="0">
                  <c:v>46072</c:v>
                </c:pt>
                <c:pt idx="1">
                  <c:v>46076</c:v>
                </c:pt>
                <c:pt idx="2">
                  <c:v>46079</c:v>
                </c:pt>
                <c:pt idx="3">
                  <c:v>46083</c:v>
                </c:pt>
                <c:pt idx="4">
                  <c:v>46086</c:v>
                </c:pt>
                <c:pt idx="5">
                  <c:v>46090</c:v>
                </c:pt>
                <c:pt idx="6">
                  <c:v>46093</c:v>
                </c:pt>
                <c:pt idx="7">
                  <c:v>46097</c:v>
                </c:pt>
                <c:pt idx="8">
                  <c:v>46100</c:v>
                </c:pt>
                <c:pt idx="9">
                  <c:v>46104</c:v>
                </c:pt>
              </c:numCache>
            </c:numRef>
          </c:cat>
          <c:val>
            <c:numRef>
              <c:f>Trending!$C$123:$C$132</c:f>
              <c:numCache>
                <c:formatCode>General</c:formatCode>
                <c:ptCount val="10"/>
                <c:pt idx="0">
                  <c:v>65</c:v>
                </c:pt>
                <c:pt idx="1">
                  <c:v>62</c:v>
                </c:pt>
                <c:pt idx="2">
                  <c:v>60</c:v>
                </c:pt>
                <c:pt idx="3">
                  <c:v>63</c:v>
                </c:pt>
                <c:pt idx="4">
                  <c:v>60</c:v>
                </c:pt>
                <c:pt idx="5">
                  <c:v>61</c:v>
                </c:pt>
                <c:pt idx="6">
                  <c:v>61</c:v>
                </c:pt>
                <c:pt idx="7">
                  <c:v>56</c:v>
                </c:pt>
                <c:pt idx="8">
                  <c:v>55</c:v>
                </c:pt>
                <c:pt idx="9">
                  <c:v>57</c:v>
                </c:pt>
              </c:numCache>
            </c:numRef>
          </c:val>
          <c:extLst>
            <c:ext xmlns:c16="http://schemas.microsoft.com/office/drawing/2014/chart" uri="{C3380CC4-5D6E-409C-BE32-E72D297353CC}">
              <c16:uniqueId val="{00000000-F3D1-490F-9126-832C62048F86}"/>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DAC-4AEF-AB43-9101FFE97C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DAC-4AEF-AB43-9101FFE97C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DAC-4AEF-AB43-9101FFE97C2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6DAC-4AEF-AB43-9101FFE97C27}"/>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Trending!$B$122:$B$131</c:f>
              <c:numCache>
                <c:formatCode>m/d/yyyy</c:formatCode>
                <c:ptCount val="10"/>
                <c:pt idx="0">
                  <c:v>46069</c:v>
                </c:pt>
                <c:pt idx="1">
                  <c:v>46072</c:v>
                </c:pt>
                <c:pt idx="2">
                  <c:v>46076</c:v>
                </c:pt>
                <c:pt idx="3">
                  <c:v>46079</c:v>
                </c:pt>
                <c:pt idx="4">
                  <c:v>46083</c:v>
                </c:pt>
                <c:pt idx="5">
                  <c:v>46086</c:v>
                </c:pt>
                <c:pt idx="6">
                  <c:v>46090</c:v>
                </c:pt>
                <c:pt idx="7">
                  <c:v>46093</c:v>
                </c:pt>
                <c:pt idx="8">
                  <c:v>46097</c:v>
                </c:pt>
                <c:pt idx="9">
                  <c:v>46100</c:v>
                </c:pt>
              </c:numCache>
            </c:numRef>
          </c:cat>
          <c:val>
            <c:numRef>
              <c:f>Trending!$C$122:$C$131</c:f>
              <c:numCache>
                <c:formatCode>General</c:formatCode>
                <c:ptCount val="10"/>
                <c:pt idx="0">
                  <c:v>74</c:v>
                </c:pt>
                <c:pt idx="1">
                  <c:v>65</c:v>
                </c:pt>
                <c:pt idx="2">
                  <c:v>62</c:v>
                </c:pt>
                <c:pt idx="3">
                  <c:v>60</c:v>
                </c:pt>
                <c:pt idx="4">
                  <c:v>63</c:v>
                </c:pt>
                <c:pt idx="5">
                  <c:v>60</c:v>
                </c:pt>
                <c:pt idx="6">
                  <c:v>61</c:v>
                </c:pt>
                <c:pt idx="7">
                  <c:v>61</c:v>
                </c:pt>
                <c:pt idx="8">
                  <c:v>56</c:v>
                </c:pt>
                <c:pt idx="9">
                  <c:v>55</c:v>
                </c:pt>
              </c:numCache>
            </c:numRef>
          </c:val>
          <c:extLst>
            <c:ext xmlns:c16="http://schemas.microsoft.com/office/drawing/2014/chart" uri="{C3380CC4-5D6E-409C-BE32-E72D297353CC}">
              <c16:uniqueId val="{00000000-ED44-41A0-97FE-058E37750236}"/>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B12-4A73-8068-C2EE771F4D4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B12-4A73-8068-C2EE771F4D4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B12-4A73-8068-C2EE771F4D4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8B12-4A73-8068-C2EE771F4D46}"/>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Trending!$B$121:$B$130</c:f>
              <c:numCache>
                <c:formatCode>m/d/yyyy</c:formatCode>
                <c:ptCount val="10"/>
                <c:pt idx="0">
                  <c:v>46065</c:v>
                </c:pt>
                <c:pt idx="1">
                  <c:v>46069</c:v>
                </c:pt>
                <c:pt idx="2">
                  <c:v>46072</c:v>
                </c:pt>
                <c:pt idx="3">
                  <c:v>46076</c:v>
                </c:pt>
                <c:pt idx="4">
                  <c:v>46079</c:v>
                </c:pt>
                <c:pt idx="5">
                  <c:v>46083</c:v>
                </c:pt>
                <c:pt idx="6">
                  <c:v>46086</c:v>
                </c:pt>
                <c:pt idx="7">
                  <c:v>46090</c:v>
                </c:pt>
                <c:pt idx="8">
                  <c:v>46093</c:v>
                </c:pt>
                <c:pt idx="9">
                  <c:v>46097</c:v>
                </c:pt>
              </c:numCache>
            </c:numRef>
          </c:cat>
          <c:val>
            <c:numRef>
              <c:f>Trending!$C$121:$C$130</c:f>
              <c:numCache>
                <c:formatCode>General</c:formatCode>
                <c:ptCount val="10"/>
                <c:pt idx="0">
                  <c:v>75</c:v>
                </c:pt>
                <c:pt idx="1">
                  <c:v>74</c:v>
                </c:pt>
                <c:pt idx="2">
                  <c:v>65</c:v>
                </c:pt>
                <c:pt idx="3">
                  <c:v>62</c:v>
                </c:pt>
                <c:pt idx="4">
                  <c:v>60</c:v>
                </c:pt>
                <c:pt idx="5">
                  <c:v>63</c:v>
                </c:pt>
                <c:pt idx="6">
                  <c:v>60</c:v>
                </c:pt>
                <c:pt idx="7">
                  <c:v>61</c:v>
                </c:pt>
                <c:pt idx="8">
                  <c:v>61</c:v>
                </c:pt>
                <c:pt idx="9">
                  <c:v>56</c:v>
                </c:pt>
              </c:numCache>
            </c:numRef>
          </c:val>
          <c:extLst>
            <c:ext xmlns:c16="http://schemas.microsoft.com/office/drawing/2014/chart" uri="{C3380CC4-5D6E-409C-BE32-E72D297353CC}">
              <c16:uniqueId val="{00000000-D689-4CDD-B90A-12A7887E2CC6}"/>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9A3-4F6D-A611-E0D1347186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9A3-4F6D-A611-E0D13471869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9A3-4F6D-A611-E0D13471869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59A3-4F6D-A611-E0D13471869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Trending!$B$120:$B$129</c:f>
              <c:numCache>
                <c:formatCode>m/d/yyyy</c:formatCode>
                <c:ptCount val="10"/>
                <c:pt idx="0">
                  <c:v>46062</c:v>
                </c:pt>
                <c:pt idx="1">
                  <c:v>46065</c:v>
                </c:pt>
                <c:pt idx="2">
                  <c:v>46069</c:v>
                </c:pt>
                <c:pt idx="3">
                  <c:v>46072</c:v>
                </c:pt>
                <c:pt idx="4">
                  <c:v>46076</c:v>
                </c:pt>
                <c:pt idx="5">
                  <c:v>46079</c:v>
                </c:pt>
                <c:pt idx="6">
                  <c:v>46083</c:v>
                </c:pt>
                <c:pt idx="7">
                  <c:v>46086</c:v>
                </c:pt>
                <c:pt idx="8">
                  <c:v>46090</c:v>
                </c:pt>
                <c:pt idx="9">
                  <c:v>46093</c:v>
                </c:pt>
              </c:numCache>
            </c:numRef>
          </c:cat>
          <c:val>
            <c:numRef>
              <c:f>Trending!$C$120:$C$129</c:f>
              <c:numCache>
                <c:formatCode>General</c:formatCode>
                <c:ptCount val="10"/>
                <c:pt idx="0">
                  <c:v>70</c:v>
                </c:pt>
                <c:pt idx="1">
                  <c:v>75</c:v>
                </c:pt>
                <c:pt idx="2">
                  <c:v>74</c:v>
                </c:pt>
                <c:pt idx="3">
                  <c:v>65</c:v>
                </c:pt>
                <c:pt idx="4">
                  <c:v>62</c:v>
                </c:pt>
                <c:pt idx="5">
                  <c:v>60</c:v>
                </c:pt>
                <c:pt idx="6">
                  <c:v>63</c:v>
                </c:pt>
                <c:pt idx="7">
                  <c:v>60</c:v>
                </c:pt>
                <c:pt idx="8">
                  <c:v>61</c:v>
                </c:pt>
                <c:pt idx="9">
                  <c:v>61</c:v>
                </c:pt>
              </c:numCache>
            </c:numRef>
          </c:val>
          <c:extLst>
            <c:ext xmlns:c16="http://schemas.microsoft.com/office/drawing/2014/chart" uri="{C3380CC4-5D6E-409C-BE32-E72D297353CC}">
              <c16:uniqueId val="{00000000-25BF-4ECF-9E9D-27BF497D48BA}"/>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863-4851-ADF3-5324B4F17BD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863-4851-ADF3-5324B4F17BD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863-4851-ADF3-5324B4F17BD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B863-4851-ADF3-5324B4F17BDC}"/>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Trending!$B$119:$B$128</c:f>
              <c:numCache>
                <c:formatCode>m/d/yyyy</c:formatCode>
                <c:ptCount val="10"/>
                <c:pt idx="0">
                  <c:v>46058</c:v>
                </c:pt>
                <c:pt idx="1">
                  <c:v>46062</c:v>
                </c:pt>
                <c:pt idx="2">
                  <c:v>46065</c:v>
                </c:pt>
                <c:pt idx="3">
                  <c:v>46069</c:v>
                </c:pt>
                <c:pt idx="4">
                  <c:v>46072</c:v>
                </c:pt>
                <c:pt idx="5">
                  <c:v>46076</c:v>
                </c:pt>
                <c:pt idx="6">
                  <c:v>46079</c:v>
                </c:pt>
                <c:pt idx="7">
                  <c:v>46083</c:v>
                </c:pt>
                <c:pt idx="8">
                  <c:v>46086</c:v>
                </c:pt>
                <c:pt idx="9">
                  <c:v>46090</c:v>
                </c:pt>
              </c:numCache>
            </c:numRef>
          </c:cat>
          <c:val>
            <c:numRef>
              <c:f>Trending!$C$119:$C$128</c:f>
              <c:numCache>
                <c:formatCode>General</c:formatCode>
                <c:ptCount val="10"/>
                <c:pt idx="0">
                  <c:v>73</c:v>
                </c:pt>
                <c:pt idx="1">
                  <c:v>70</c:v>
                </c:pt>
                <c:pt idx="2">
                  <c:v>75</c:v>
                </c:pt>
                <c:pt idx="3">
                  <c:v>74</c:v>
                </c:pt>
                <c:pt idx="4">
                  <c:v>65</c:v>
                </c:pt>
                <c:pt idx="5">
                  <c:v>62</c:v>
                </c:pt>
                <c:pt idx="6">
                  <c:v>60</c:v>
                </c:pt>
                <c:pt idx="7">
                  <c:v>63</c:v>
                </c:pt>
                <c:pt idx="8">
                  <c:v>60</c:v>
                </c:pt>
                <c:pt idx="9">
                  <c:v>61</c:v>
                </c:pt>
              </c:numCache>
            </c:numRef>
          </c:val>
          <c:extLst>
            <c:ext xmlns:c16="http://schemas.microsoft.com/office/drawing/2014/chart" uri="{C3380CC4-5D6E-409C-BE32-E72D297353CC}">
              <c16:uniqueId val="{00000000-F35F-4D9E-AF96-94C7919882AC}"/>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EF2-42AF-A48E-45B13B8D715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EF2-42AF-A48E-45B13B8D715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EF2-42AF-A48E-45B13B8D715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2EF2-42AF-A48E-45B13B8D7154}"/>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Trending!$B$118:$B$127</c:f>
              <c:numCache>
                <c:formatCode>m/d/yyyy</c:formatCode>
                <c:ptCount val="10"/>
                <c:pt idx="0">
                  <c:v>46055</c:v>
                </c:pt>
                <c:pt idx="1">
                  <c:v>46058</c:v>
                </c:pt>
                <c:pt idx="2">
                  <c:v>46062</c:v>
                </c:pt>
                <c:pt idx="3">
                  <c:v>46065</c:v>
                </c:pt>
                <c:pt idx="4">
                  <c:v>46069</c:v>
                </c:pt>
                <c:pt idx="5">
                  <c:v>46072</c:v>
                </c:pt>
                <c:pt idx="6">
                  <c:v>46076</c:v>
                </c:pt>
                <c:pt idx="7">
                  <c:v>46079</c:v>
                </c:pt>
                <c:pt idx="8">
                  <c:v>46083</c:v>
                </c:pt>
                <c:pt idx="9">
                  <c:v>46086</c:v>
                </c:pt>
              </c:numCache>
            </c:numRef>
          </c:cat>
          <c:val>
            <c:numRef>
              <c:f>Trending!$C$118:$C$127</c:f>
              <c:numCache>
                <c:formatCode>General</c:formatCode>
                <c:ptCount val="10"/>
                <c:pt idx="0">
                  <c:v>80</c:v>
                </c:pt>
                <c:pt idx="1">
                  <c:v>73</c:v>
                </c:pt>
                <c:pt idx="2">
                  <c:v>70</c:v>
                </c:pt>
                <c:pt idx="3">
                  <c:v>75</c:v>
                </c:pt>
                <c:pt idx="4">
                  <c:v>74</c:v>
                </c:pt>
                <c:pt idx="5">
                  <c:v>65</c:v>
                </c:pt>
                <c:pt idx="6">
                  <c:v>62</c:v>
                </c:pt>
                <c:pt idx="7">
                  <c:v>60</c:v>
                </c:pt>
                <c:pt idx="8">
                  <c:v>63</c:v>
                </c:pt>
                <c:pt idx="9">
                  <c:v>60</c:v>
                </c:pt>
              </c:numCache>
            </c:numRef>
          </c:val>
          <c:extLst>
            <c:ext xmlns:c16="http://schemas.microsoft.com/office/drawing/2014/chart" uri="{C3380CC4-5D6E-409C-BE32-E72D297353CC}">
              <c16:uniqueId val="{00000000-B9F1-4A29-9658-1D29D7E3E62D}"/>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E58-481A-ADCC-78D373F4611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E58-481A-ADCC-78D373F4611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E58-481A-ADCC-78D373F4611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FE58-481A-ADCC-78D373F4611C}"/>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Trending!$B$117:$B$126</c:f>
              <c:numCache>
                <c:formatCode>m/d/yyyy</c:formatCode>
                <c:ptCount val="10"/>
                <c:pt idx="0">
                  <c:v>46051</c:v>
                </c:pt>
                <c:pt idx="1">
                  <c:v>46055</c:v>
                </c:pt>
                <c:pt idx="2">
                  <c:v>46058</c:v>
                </c:pt>
                <c:pt idx="3">
                  <c:v>46062</c:v>
                </c:pt>
                <c:pt idx="4">
                  <c:v>46065</c:v>
                </c:pt>
                <c:pt idx="5">
                  <c:v>46069</c:v>
                </c:pt>
                <c:pt idx="6">
                  <c:v>46072</c:v>
                </c:pt>
                <c:pt idx="7">
                  <c:v>46076</c:v>
                </c:pt>
                <c:pt idx="8">
                  <c:v>46079</c:v>
                </c:pt>
                <c:pt idx="9">
                  <c:v>46083</c:v>
                </c:pt>
              </c:numCache>
            </c:numRef>
          </c:cat>
          <c:val>
            <c:numRef>
              <c:f>Trending!$C$117:$C$126</c:f>
              <c:numCache>
                <c:formatCode>General</c:formatCode>
                <c:ptCount val="10"/>
                <c:pt idx="0">
                  <c:v>80</c:v>
                </c:pt>
                <c:pt idx="1">
                  <c:v>80</c:v>
                </c:pt>
                <c:pt idx="2">
                  <c:v>73</c:v>
                </c:pt>
                <c:pt idx="3">
                  <c:v>70</c:v>
                </c:pt>
                <c:pt idx="4">
                  <c:v>75</c:v>
                </c:pt>
                <c:pt idx="5">
                  <c:v>74</c:v>
                </c:pt>
                <c:pt idx="6">
                  <c:v>65</c:v>
                </c:pt>
                <c:pt idx="7">
                  <c:v>62</c:v>
                </c:pt>
                <c:pt idx="8">
                  <c:v>60</c:v>
                </c:pt>
                <c:pt idx="9">
                  <c:v>63</c:v>
                </c:pt>
              </c:numCache>
            </c:numRef>
          </c:val>
          <c:extLst>
            <c:ext xmlns:c16="http://schemas.microsoft.com/office/drawing/2014/chart" uri="{C3380CC4-5D6E-409C-BE32-E72D297353CC}">
              <c16:uniqueId val="{00000000-9E4D-4A7D-A63C-9D311E93F49A}"/>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D50-4DD2-9381-4AEF0FB9919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D50-4DD2-9381-4AEF0FB9919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D50-4DD2-9381-4AEF0FB9919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ED50-4DD2-9381-4AEF0FB99192}"/>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Trending!$B$116:$B$125</c:f>
              <c:numCache>
                <c:formatCode>m/d/yyyy</c:formatCode>
                <c:ptCount val="10"/>
                <c:pt idx="0">
                  <c:v>46048</c:v>
                </c:pt>
                <c:pt idx="1">
                  <c:v>46051</c:v>
                </c:pt>
                <c:pt idx="2">
                  <c:v>46055</c:v>
                </c:pt>
                <c:pt idx="3">
                  <c:v>46058</c:v>
                </c:pt>
                <c:pt idx="4">
                  <c:v>46062</c:v>
                </c:pt>
                <c:pt idx="5">
                  <c:v>46065</c:v>
                </c:pt>
                <c:pt idx="6">
                  <c:v>46069</c:v>
                </c:pt>
                <c:pt idx="7">
                  <c:v>46072</c:v>
                </c:pt>
                <c:pt idx="8">
                  <c:v>46076</c:v>
                </c:pt>
                <c:pt idx="9">
                  <c:v>46079</c:v>
                </c:pt>
              </c:numCache>
            </c:numRef>
          </c:cat>
          <c:val>
            <c:numRef>
              <c:f>Trending!$C$116:$C$125</c:f>
              <c:numCache>
                <c:formatCode>General</c:formatCode>
                <c:ptCount val="10"/>
                <c:pt idx="0">
                  <c:v>46</c:v>
                </c:pt>
                <c:pt idx="1">
                  <c:v>80</c:v>
                </c:pt>
                <c:pt idx="2">
                  <c:v>80</c:v>
                </c:pt>
                <c:pt idx="3">
                  <c:v>73</c:v>
                </c:pt>
                <c:pt idx="4">
                  <c:v>70</c:v>
                </c:pt>
                <c:pt idx="5">
                  <c:v>75</c:v>
                </c:pt>
                <c:pt idx="6">
                  <c:v>74</c:v>
                </c:pt>
                <c:pt idx="7">
                  <c:v>65</c:v>
                </c:pt>
                <c:pt idx="8">
                  <c:v>62</c:v>
                </c:pt>
                <c:pt idx="9">
                  <c:v>60</c:v>
                </c:pt>
              </c:numCache>
            </c:numRef>
          </c:val>
          <c:extLst>
            <c:ext xmlns:c16="http://schemas.microsoft.com/office/drawing/2014/chart" uri="{C3380CC4-5D6E-409C-BE32-E72D297353CC}">
              <c16:uniqueId val="{00000000-9854-4FD7-A27B-C0B70E7D69F6}"/>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991-402D-9CEE-E69CB1B4D0A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991-402D-9CEE-E69CB1B4D0A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991-402D-9CEE-E69CB1B4D0A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D991-402D-9CEE-E69CB1B4D0AA}"/>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Trending!$B$115:$B$124</c:f>
              <c:numCache>
                <c:formatCode>m/d/yyyy</c:formatCode>
                <c:ptCount val="10"/>
                <c:pt idx="0">
                  <c:v>46044</c:v>
                </c:pt>
                <c:pt idx="1">
                  <c:v>46048</c:v>
                </c:pt>
                <c:pt idx="2">
                  <c:v>46051</c:v>
                </c:pt>
                <c:pt idx="3">
                  <c:v>46055</c:v>
                </c:pt>
                <c:pt idx="4">
                  <c:v>46058</c:v>
                </c:pt>
                <c:pt idx="5">
                  <c:v>46062</c:v>
                </c:pt>
                <c:pt idx="6">
                  <c:v>46065</c:v>
                </c:pt>
                <c:pt idx="7">
                  <c:v>46069</c:v>
                </c:pt>
                <c:pt idx="8">
                  <c:v>46072</c:v>
                </c:pt>
                <c:pt idx="9">
                  <c:v>46076</c:v>
                </c:pt>
              </c:numCache>
            </c:numRef>
          </c:cat>
          <c:val>
            <c:numRef>
              <c:f>Trending!$C$115:$C$124</c:f>
              <c:numCache>
                <c:formatCode>General</c:formatCode>
                <c:ptCount val="10"/>
                <c:pt idx="0">
                  <c:v>55</c:v>
                </c:pt>
                <c:pt idx="1">
                  <c:v>46</c:v>
                </c:pt>
                <c:pt idx="2">
                  <c:v>80</c:v>
                </c:pt>
                <c:pt idx="3">
                  <c:v>80</c:v>
                </c:pt>
                <c:pt idx="4">
                  <c:v>73</c:v>
                </c:pt>
                <c:pt idx="5">
                  <c:v>70</c:v>
                </c:pt>
                <c:pt idx="6">
                  <c:v>75</c:v>
                </c:pt>
                <c:pt idx="7">
                  <c:v>74</c:v>
                </c:pt>
                <c:pt idx="8">
                  <c:v>65</c:v>
                </c:pt>
                <c:pt idx="9">
                  <c:v>62</c:v>
                </c:pt>
              </c:numCache>
            </c:numRef>
          </c:val>
          <c:extLst>
            <c:ext xmlns:c16="http://schemas.microsoft.com/office/drawing/2014/chart" uri="{C3380CC4-5D6E-409C-BE32-E72D297353CC}">
              <c16:uniqueId val="{00000000-9E30-4A98-9734-BB34FA4AF3EB}"/>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C5E-44F9-BBD3-24CD79434F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C5E-44F9-BBD3-24CD79434F6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C5E-44F9-BBD3-24CD79434F6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9C5E-44F9-BBD3-24CD79434F6B}"/>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Trending!$B$114:$B$123</c:f>
              <c:numCache>
                <c:formatCode>m/d/yyyy</c:formatCode>
                <c:ptCount val="10"/>
                <c:pt idx="0">
                  <c:v>46041</c:v>
                </c:pt>
                <c:pt idx="1">
                  <c:v>46044</c:v>
                </c:pt>
                <c:pt idx="2">
                  <c:v>46048</c:v>
                </c:pt>
                <c:pt idx="3">
                  <c:v>46051</c:v>
                </c:pt>
                <c:pt idx="4">
                  <c:v>46055</c:v>
                </c:pt>
                <c:pt idx="5">
                  <c:v>46058</c:v>
                </c:pt>
                <c:pt idx="6">
                  <c:v>46062</c:v>
                </c:pt>
                <c:pt idx="7">
                  <c:v>46065</c:v>
                </c:pt>
                <c:pt idx="8">
                  <c:v>46069</c:v>
                </c:pt>
                <c:pt idx="9">
                  <c:v>46072</c:v>
                </c:pt>
              </c:numCache>
            </c:numRef>
          </c:cat>
          <c:val>
            <c:numRef>
              <c:f>Trending!$C$114:$C$123</c:f>
              <c:numCache>
                <c:formatCode>General</c:formatCode>
                <c:ptCount val="10"/>
                <c:pt idx="0">
                  <c:v>62</c:v>
                </c:pt>
                <c:pt idx="1">
                  <c:v>55</c:v>
                </c:pt>
                <c:pt idx="2">
                  <c:v>46</c:v>
                </c:pt>
                <c:pt idx="3">
                  <c:v>80</c:v>
                </c:pt>
                <c:pt idx="4">
                  <c:v>80</c:v>
                </c:pt>
                <c:pt idx="5">
                  <c:v>73</c:v>
                </c:pt>
                <c:pt idx="6">
                  <c:v>70</c:v>
                </c:pt>
                <c:pt idx="7">
                  <c:v>75</c:v>
                </c:pt>
                <c:pt idx="8">
                  <c:v>74</c:v>
                </c:pt>
                <c:pt idx="9">
                  <c:v>65</c:v>
                </c:pt>
              </c:numCache>
            </c:numRef>
          </c:val>
          <c:extLst>
            <c:ext xmlns:c16="http://schemas.microsoft.com/office/drawing/2014/chart" uri="{C3380CC4-5D6E-409C-BE32-E72D297353CC}">
              <c16:uniqueId val="{00000000-1DD0-4A8F-AE74-D9661396AAFE}"/>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BF6-4056-ABC8-021F9D71056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BF6-4056-ABC8-021F9D71056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BF6-4056-ABC8-021F9D71056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4BF6-4056-ABC8-021F9D71056A}"/>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Trending!$B$113:$B$122</c:f>
              <c:numCache>
                <c:formatCode>m/d/yyyy</c:formatCode>
                <c:ptCount val="10"/>
                <c:pt idx="0">
                  <c:v>46037</c:v>
                </c:pt>
                <c:pt idx="1">
                  <c:v>46041</c:v>
                </c:pt>
                <c:pt idx="2">
                  <c:v>46044</c:v>
                </c:pt>
                <c:pt idx="3">
                  <c:v>46048</c:v>
                </c:pt>
                <c:pt idx="4">
                  <c:v>46051</c:v>
                </c:pt>
                <c:pt idx="5">
                  <c:v>46055</c:v>
                </c:pt>
                <c:pt idx="6">
                  <c:v>46058</c:v>
                </c:pt>
                <c:pt idx="7">
                  <c:v>46062</c:v>
                </c:pt>
                <c:pt idx="8">
                  <c:v>46065</c:v>
                </c:pt>
                <c:pt idx="9">
                  <c:v>46069</c:v>
                </c:pt>
              </c:numCache>
            </c:numRef>
          </c:cat>
          <c:val>
            <c:numRef>
              <c:f>Trending!$C$113:$C$122</c:f>
              <c:numCache>
                <c:formatCode>General</c:formatCode>
                <c:ptCount val="10"/>
                <c:pt idx="0">
                  <c:v>56</c:v>
                </c:pt>
                <c:pt idx="1">
                  <c:v>62</c:v>
                </c:pt>
                <c:pt idx="2">
                  <c:v>55</c:v>
                </c:pt>
                <c:pt idx="3">
                  <c:v>46</c:v>
                </c:pt>
                <c:pt idx="4">
                  <c:v>80</c:v>
                </c:pt>
                <c:pt idx="5">
                  <c:v>80</c:v>
                </c:pt>
                <c:pt idx="6">
                  <c:v>73</c:v>
                </c:pt>
                <c:pt idx="7">
                  <c:v>70</c:v>
                </c:pt>
                <c:pt idx="8">
                  <c:v>75</c:v>
                </c:pt>
                <c:pt idx="9">
                  <c:v>74</c:v>
                </c:pt>
              </c:numCache>
            </c:numRef>
          </c:val>
          <c:extLst>
            <c:ext xmlns:c16="http://schemas.microsoft.com/office/drawing/2014/chart" uri="{C3380CC4-5D6E-409C-BE32-E72D297353CC}">
              <c16:uniqueId val="{00000000-44E7-4A7E-9658-B317A0CF24D2}"/>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060-4F5E-AAA7-8AB865F355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060-4F5E-AAA7-8AB865F3556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060-4F5E-AAA7-8AB865F3556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9060-4F5E-AAA7-8AB865F35565}"/>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Trending!$B$112:$B$121</c:f>
              <c:numCache>
                <c:formatCode>m/d/yyyy</c:formatCode>
                <c:ptCount val="10"/>
                <c:pt idx="0">
                  <c:v>46034</c:v>
                </c:pt>
                <c:pt idx="1">
                  <c:v>46037</c:v>
                </c:pt>
                <c:pt idx="2">
                  <c:v>46041</c:v>
                </c:pt>
                <c:pt idx="3">
                  <c:v>46044</c:v>
                </c:pt>
                <c:pt idx="4">
                  <c:v>46048</c:v>
                </c:pt>
                <c:pt idx="5">
                  <c:v>46051</c:v>
                </c:pt>
                <c:pt idx="6">
                  <c:v>46055</c:v>
                </c:pt>
                <c:pt idx="7">
                  <c:v>46058</c:v>
                </c:pt>
                <c:pt idx="8">
                  <c:v>46062</c:v>
                </c:pt>
                <c:pt idx="9">
                  <c:v>46065</c:v>
                </c:pt>
              </c:numCache>
            </c:numRef>
          </c:cat>
          <c:val>
            <c:numRef>
              <c:f>Trending!$C$112:$C$121</c:f>
              <c:numCache>
                <c:formatCode>General</c:formatCode>
                <c:ptCount val="10"/>
                <c:pt idx="0">
                  <c:v>57</c:v>
                </c:pt>
                <c:pt idx="1">
                  <c:v>56</c:v>
                </c:pt>
                <c:pt idx="2">
                  <c:v>62</c:v>
                </c:pt>
                <c:pt idx="3">
                  <c:v>55</c:v>
                </c:pt>
                <c:pt idx="4">
                  <c:v>46</c:v>
                </c:pt>
                <c:pt idx="5">
                  <c:v>80</c:v>
                </c:pt>
                <c:pt idx="6">
                  <c:v>80</c:v>
                </c:pt>
                <c:pt idx="7">
                  <c:v>73</c:v>
                </c:pt>
                <c:pt idx="8">
                  <c:v>70</c:v>
                </c:pt>
                <c:pt idx="9">
                  <c:v>75</c:v>
                </c:pt>
              </c:numCache>
            </c:numRef>
          </c:val>
          <c:extLst>
            <c:ext xmlns:c16="http://schemas.microsoft.com/office/drawing/2014/chart" uri="{C3380CC4-5D6E-409C-BE32-E72D297353CC}">
              <c16:uniqueId val="{00000000-0F0D-409C-820A-E7F19476AB5D}"/>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38F-41AF-A333-730410D6A66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38F-41AF-A333-730410D6A66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38F-41AF-A333-730410D6A66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038F-41AF-A333-730410D6A66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Trending!$B$111:$B$120</c:f>
              <c:numCache>
                <c:formatCode>m/d/yyyy</c:formatCode>
                <c:ptCount val="10"/>
                <c:pt idx="0">
                  <c:v>46030</c:v>
                </c:pt>
                <c:pt idx="1">
                  <c:v>46034</c:v>
                </c:pt>
                <c:pt idx="2">
                  <c:v>46037</c:v>
                </c:pt>
                <c:pt idx="3">
                  <c:v>46041</c:v>
                </c:pt>
                <c:pt idx="4">
                  <c:v>46044</c:v>
                </c:pt>
                <c:pt idx="5">
                  <c:v>46048</c:v>
                </c:pt>
                <c:pt idx="6">
                  <c:v>46051</c:v>
                </c:pt>
                <c:pt idx="7">
                  <c:v>46055</c:v>
                </c:pt>
                <c:pt idx="8">
                  <c:v>46058</c:v>
                </c:pt>
                <c:pt idx="9">
                  <c:v>46062</c:v>
                </c:pt>
              </c:numCache>
            </c:numRef>
          </c:cat>
          <c:val>
            <c:numRef>
              <c:f>Trending!$C$111:$C$120</c:f>
              <c:numCache>
                <c:formatCode>General</c:formatCode>
                <c:ptCount val="10"/>
                <c:pt idx="0">
                  <c:v>60</c:v>
                </c:pt>
                <c:pt idx="1">
                  <c:v>57</c:v>
                </c:pt>
                <c:pt idx="2">
                  <c:v>56</c:v>
                </c:pt>
                <c:pt idx="3">
                  <c:v>62</c:v>
                </c:pt>
                <c:pt idx="4">
                  <c:v>55</c:v>
                </c:pt>
                <c:pt idx="5">
                  <c:v>46</c:v>
                </c:pt>
                <c:pt idx="6">
                  <c:v>80</c:v>
                </c:pt>
                <c:pt idx="7">
                  <c:v>80</c:v>
                </c:pt>
                <c:pt idx="8">
                  <c:v>73</c:v>
                </c:pt>
                <c:pt idx="9">
                  <c:v>70</c:v>
                </c:pt>
              </c:numCache>
            </c:numRef>
          </c:val>
          <c:extLst>
            <c:ext xmlns:c16="http://schemas.microsoft.com/office/drawing/2014/chart" uri="{C3380CC4-5D6E-409C-BE32-E72D297353CC}">
              <c16:uniqueId val="{00000000-51CF-474A-A40D-9749EC898335}"/>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422-4657-8227-FDC5BC57DC7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422-4657-8227-FDC5BC57DC7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422-4657-8227-FDC5BC57DC7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3422-4657-8227-FDC5BC57DC7F}"/>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Trending!$B$110:$B$119</c:f>
              <c:strCache>
                <c:ptCount val="10"/>
                <c:pt idx="0">
                  <c:v>01/05/20206</c:v>
                </c:pt>
                <c:pt idx="1">
                  <c:v>1/8/2026</c:v>
                </c:pt>
                <c:pt idx="2">
                  <c:v>1/12/2026</c:v>
                </c:pt>
                <c:pt idx="3">
                  <c:v>1/15/2026</c:v>
                </c:pt>
                <c:pt idx="4">
                  <c:v>1/19/2026</c:v>
                </c:pt>
                <c:pt idx="5">
                  <c:v>1/22/2026</c:v>
                </c:pt>
                <c:pt idx="6">
                  <c:v>1/26/2026</c:v>
                </c:pt>
                <c:pt idx="7">
                  <c:v>1/29/2026</c:v>
                </c:pt>
                <c:pt idx="8">
                  <c:v>2/2/2026</c:v>
                </c:pt>
                <c:pt idx="9">
                  <c:v>2/5/2026</c:v>
                </c:pt>
              </c:strCache>
            </c:strRef>
          </c:cat>
          <c:val>
            <c:numRef>
              <c:f>Trending!$C$110:$C$119</c:f>
              <c:numCache>
                <c:formatCode>General</c:formatCode>
                <c:ptCount val="10"/>
                <c:pt idx="0">
                  <c:v>62</c:v>
                </c:pt>
                <c:pt idx="1">
                  <c:v>60</c:v>
                </c:pt>
                <c:pt idx="2">
                  <c:v>57</c:v>
                </c:pt>
                <c:pt idx="3">
                  <c:v>56</c:v>
                </c:pt>
                <c:pt idx="4">
                  <c:v>62</c:v>
                </c:pt>
                <c:pt idx="5">
                  <c:v>55</c:v>
                </c:pt>
                <c:pt idx="6">
                  <c:v>46</c:v>
                </c:pt>
                <c:pt idx="7">
                  <c:v>80</c:v>
                </c:pt>
                <c:pt idx="8">
                  <c:v>80</c:v>
                </c:pt>
                <c:pt idx="9">
                  <c:v>73</c:v>
                </c:pt>
              </c:numCache>
            </c:numRef>
          </c:val>
          <c:extLst>
            <c:ext xmlns:c16="http://schemas.microsoft.com/office/drawing/2014/chart" uri="{C3380CC4-5D6E-409C-BE32-E72D297353CC}">
              <c16:uniqueId val="{00000000-96AB-431C-9DB9-9641E91425B5}"/>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6EF-45BC-88B9-567AAD12D2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6EF-45BC-88B9-567AAD12D29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6EF-45BC-88B9-567AAD12D29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66EF-45BC-88B9-567AAD12D29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Trending!$B$109:$B$118</c:f>
              <c:strCache>
                <c:ptCount val="10"/>
                <c:pt idx="0">
                  <c:v>12/29/2025</c:v>
                </c:pt>
                <c:pt idx="1">
                  <c:v>01/05/20206</c:v>
                </c:pt>
                <c:pt idx="2">
                  <c:v>1/8/2026</c:v>
                </c:pt>
                <c:pt idx="3">
                  <c:v>1/12/2026</c:v>
                </c:pt>
                <c:pt idx="4">
                  <c:v>1/15/2026</c:v>
                </c:pt>
                <c:pt idx="5">
                  <c:v>1/19/2026</c:v>
                </c:pt>
                <c:pt idx="6">
                  <c:v>1/22/2026</c:v>
                </c:pt>
                <c:pt idx="7">
                  <c:v>1/26/2026</c:v>
                </c:pt>
                <c:pt idx="8">
                  <c:v>1/29/2026</c:v>
                </c:pt>
                <c:pt idx="9">
                  <c:v>2/2/2026</c:v>
                </c:pt>
              </c:strCache>
            </c:strRef>
          </c:cat>
          <c:val>
            <c:numRef>
              <c:f>Trending!$C$109:$C$118</c:f>
              <c:numCache>
                <c:formatCode>General</c:formatCode>
                <c:ptCount val="10"/>
                <c:pt idx="0">
                  <c:v>68</c:v>
                </c:pt>
                <c:pt idx="1">
                  <c:v>62</c:v>
                </c:pt>
                <c:pt idx="2">
                  <c:v>60</c:v>
                </c:pt>
                <c:pt idx="3">
                  <c:v>57</c:v>
                </c:pt>
                <c:pt idx="4">
                  <c:v>56</c:v>
                </c:pt>
                <c:pt idx="5">
                  <c:v>62</c:v>
                </c:pt>
                <c:pt idx="6">
                  <c:v>55</c:v>
                </c:pt>
                <c:pt idx="7">
                  <c:v>46</c:v>
                </c:pt>
                <c:pt idx="8">
                  <c:v>80</c:v>
                </c:pt>
                <c:pt idx="9">
                  <c:v>80</c:v>
                </c:pt>
              </c:numCache>
            </c:numRef>
          </c:val>
          <c:extLst>
            <c:ext xmlns:c16="http://schemas.microsoft.com/office/drawing/2014/chart" uri="{C3380CC4-5D6E-409C-BE32-E72D297353CC}">
              <c16:uniqueId val="{00000000-E6D9-4F85-B801-D183832B311D}"/>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BF3-452C-8423-7B1CB40F3F7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BF3-452C-8423-7B1CB40F3F7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BF3-452C-8423-7B1CB40F3F7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6BF3-452C-8423-7B1CB40F3F76}"/>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Trending!$B$108:$B$117</c:f>
              <c:strCache>
                <c:ptCount val="10"/>
                <c:pt idx="0">
                  <c:v>12/22/2025</c:v>
                </c:pt>
                <c:pt idx="1">
                  <c:v>12/29/2025</c:v>
                </c:pt>
                <c:pt idx="2">
                  <c:v>01/05/20206</c:v>
                </c:pt>
                <c:pt idx="3">
                  <c:v>1/8/2026</c:v>
                </c:pt>
                <c:pt idx="4">
                  <c:v>1/12/2026</c:v>
                </c:pt>
                <c:pt idx="5">
                  <c:v>1/15/2026</c:v>
                </c:pt>
                <c:pt idx="6">
                  <c:v>1/19/2026</c:v>
                </c:pt>
                <c:pt idx="7">
                  <c:v>1/22/2026</c:v>
                </c:pt>
                <c:pt idx="8">
                  <c:v>1/26/2026</c:v>
                </c:pt>
                <c:pt idx="9">
                  <c:v>1/29/2026</c:v>
                </c:pt>
              </c:strCache>
            </c:strRef>
          </c:cat>
          <c:val>
            <c:numRef>
              <c:f>Trending!$C$108:$C$117</c:f>
              <c:numCache>
                <c:formatCode>General</c:formatCode>
                <c:ptCount val="10"/>
                <c:pt idx="0">
                  <c:v>65</c:v>
                </c:pt>
                <c:pt idx="1">
                  <c:v>68</c:v>
                </c:pt>
                <c:pt idx="2">
                  <c:v>62</c:v>
                </c:pt>
                <c:pt idx="3">
                  <c:v>60</c:v>
                </c:pt>
                <c:pt idx="4">
                  <c:v>57</c:v>
                </c:pt>
                <c:pt idx="5">
                  <c:v>56</c:v>
                </c:pt>
                <c:pt idx="6">
                  <c:v>62</c:v>
                </c:pt>
                <c:pt idx="7">
                  <c:v>55</c:v>
                </c:pt>
                <c:pt idx="8">
                  <c:v>46</c:v>
                </c:pt>
                <c:pt idx="9">
                  <c:v>80</c:v>
                </c:pt>
              </c:numCache>
            </c:numRef>
          </c:val>
          <c:extLst>
            <c:ext xmlns:c16="http://schemas.microsoft.com/office/drawing/2014/chart" uri="{C3380CC4-5D6E-409C-BE32-E72D297353CC}">
              <c16:uniqueId val="{00000000-DD5B-497C-BC3E-1D0B52055526}"/>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7F8-47D5-AA1C-7F5D8BC08CF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7F8-47D5-AA1C-7F5D8BC08CF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7F8-47D5-AA1C-7F5D8BC08CF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D7F8-47D5-AA1C-7F5D8BC08CFB}"/>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Trending!$B$107:$B$116</c:f>
              <c:strCache>
                <c:ptCount val="10"/>
                <c:pt idx="0">
                  <c:v>18-Dec</c:v>
                </c:pt>
                <c:pt idx="1">
                  <c:v>12/22/2025</c:v>
                </c:pt>
                <c:pt idx="2">
                  <c:v>12/29/2025</c:v>
                </c:pt>
                <c:pt idx="3">
                  <c:v>01/05/20206</c:v>
                </c:pt>
                <c:pt idx="4">
                  <c:v>1/8/2026</c:v>
                </c:pt>
                <c:pt idx="5">
                  <c:v>1/12/2026</c:v>
                </c:pt>
                <c:pt idx="6">
                  <c:v>1/15/2026</c:v>
                </c:pt>
                <c:pt idx="7">
                  <c:v>1/19/2026</c:v>
                </c:pt>
                <c:pt idx="8">
                  <c:v>1/22/2026</c:v>
                </c:pt>
                <c:pt idx="9">
                  <c:v>1/26/2026</c:v>
                </c:pt>
              </c:strCache>
            </c:strRef>
          </c:cat>
          <c:val>
            <c:numRef>
              <c:f>Trending!$C$107:$C$116</c:f>
              <c:numCache>
                <c:formatCode>General</c:formatCode>
                <c:ptCount val="10"/>
                <c:pt idx="0">
                  <c:v>68</c:v>
                </c:pt>
                <c:pt idx="1">
                  <c:v>65</c:v>
                </c:pt>
                <c:pt idx="2">
                  <c:v>68</c:v>
                </c:pt>
                <c:pt idx="3">
                  <c:v>62</c:v>
                </c:pt>
                <c:pt idx="4">
                  <c:v>60</c:v>
                </c:pt>
                <c:pt idx="5">
                  <c:v>57</c:v>
                </c:pt>
                <c:pt idx="6">
                  <c:v>56</c:v>
                </c:pt>
                <c:pt idx="7">
                  <c:v>62</c:v>
                </c:pt>
                <c:pt idx="8">
                  <c:v>55</c:v>
                </c:pt>
                <c:pt idx="9">
                  <c:v>46</c:v>
                </c:pt>
              </c:numCache>
            </c:numRef>
          </c:val>
          <c:extLst>
            <c:ext xmlns:c16="http://schemas.microsoft.com/office/drawing/2014/chart" uri="{C3380CC4-5D6E-409C-BE32-E72D297353CC}">
              <c16:uniqueId val="{00000000-5371-476B-BCE9-72ABDBFEDED0}"/>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CDC-450A-9B86-595D88CEDDE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CDC-450A-9B86-595D88CEDDE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CDC-450A-9B86-595D88CEDDE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5CDC-450A-9B86-595D88CEDDE9}"/>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Trending!$B$106:$B$115</c:f>
              <c:strCache>
                <c:ptCount val="10"/>
                <c:pt idx="0">
                  <c:v>12/15/2025</c:v>
                </c:pt>
                <c:pt idx="1">
                  <c:v>18-Dec</c:v>
                </c:pt>
                <c:pt idx="2">
                  <c:v>12/22/2025</c:v>
                </c:pt>
                <c:pt idx="3">
                  <c:v>12/29/2025</c:v>
                </c:pt>
                <c:pt idx="4">
                  <c:v>01/05/20206</c:v>
                </c:pt>
                <c:pt idx="5">
                  <c:v>1/8/2026</c:v>
                </c:pt>
                <c:pt idx="6">
                  <c:v>1/12/2026</c:v>
                </c:pt>
                <c:pt idx="7">
                  <c:v>1/15/2026</c:v>
                </c:pt>
                <c:pt idx="8">
                  <c:v>1/19/2026</c:v>
                </c:pt>
                <c:pt idx="9">
                  <c:v>1/22/2026</c:v>
                </c:pt>
              </c:strCache>
            </c:strRef>
          </c:cat>
          <c:val>
            <c:numRef>
              <c:f>Trending!$C$106:$C$115</c:f>
              <c:numCache>
                <c:formatCode>General</c:formatCode>
                <c:ptCount val="10"/>
                <c:pt idx="0">
                  <c:v>49</c:v>
                </c:pt>
                <c:pt idx="1">
                  <c:v>68</c:v>
                </c:pt>
                <c:pt idx="2">
                  <c:v>65</c:v>
                </c:pt>
                <c:pt idx="3">
                  <c:v>68</c:v>
                </c:pt>
                <c:pt idx="4">
                  <c:v>62</c:v>
                </c:pt>
                <c:pt idx="5">
                  <c:v>60</c:v>
                </c:pt>
                <c:pt idx="6">
                  <c:v>57</c:v>
                </c:pt>
                <c:pt idx="7">
                  <c:v>56</c:v>
                </c:pt>
                <c:pt idx="8">
                  <c:v>62</c:v>
                </c:pt>
                <c:pt idx="9">
                  <c:v>55</c:v>
                </c:pt>
              </c:numCache>
            </c:numRef>
          </c:val>
          <c:extLst>
            <c:ext xmlns:c16="http://schemas.microsoft.com/office/drawing/2014/chart" uri="{C3380CC4-5D6E-409C-BE32-E72D297353CC}">
              <c16:uniqueId val="{00000000-69FB-4376-A89E-D4949D3895F3}"/>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7D7-479B-8673-249638CD358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7D7-479B-8673-249638CD358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7D7-479B-8673-249638CD358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27D7-479B-8673-249638CD358E}"/>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Trending!$B$105:$B$114</c:f>
              <c:strCache>
                <c:ptCount val="10"/>
                <c:pt idx="0">
                  <c:v>12/11/2025</c:v>
                </c:pt>
                <c:pt idx="1">
                  <c:v>12/15/2025</c:v>
                </c:pt>
                <c:pt idx="2">
                  <c:v>18-Dec</c:v>
                </c:pt>
                <c:pt idx="3">
                  <c:v>12/22/2025</c:v>
                </c:pt>
                <c:pt idx="4">
                  <c:v>12/29/2025</c:v>
                </c:pt>
                <c:pt idx="5">
                  <c:v>01/05/20206</c:v>
                </c:pt>
                <c:pt idx="6">
                  <c:v>1/8/2026</c:v>
                </c:pt>
                <c:pt idx="7">
                  <c:v>1/12/2026</c:v>
                </c:pt>
                <c:pt idx="8">
                  <c:v>1/15/2026</c:v>
                </c:pt>
                <c:pt idx="9">
                  <c:v>1/19/2026</c:v>
                </c:pt>
              </c:strCache>
            </c:strRef>
          </c:cat>
          <c:val>
            <c:numRef>
              <c:f>Trending!$C$105:$C$114</c:f>
              <c:numCache>
                <c:formatCode>General</c:formatCode>
                <c:ptCount val="10"/>
                <c:pt idx="0">
                  <c:v>52</c:v>
                </c:pt>
                <c:pt idx="1">
                  <c:v>49</c:v>
                </c:pt>
                <c:pt idx="2">
                  <c:v>68</c:v>
                </c:pt>
                <c:pt idx="3">
                  <c:v>65</c:v>
                </c:pt>
                <c:pt idx="4">
                  <c:v>68</c:v>
                </c:pt>
                <c:pt idx="5">
                  <c:v>62</c:v>
                </c:pt>
                <c:pt idx="6">
                  <c:v>60</c:v>
                </c:pt>
                <c:pt idx="7">
                  <c:v>57</c:v>
                </c:pt>
                <c:pt idx="8">
                  <c:v>56</c:v>
                </c:pt>
                <c:pt idx="9">
                  <c:v>62</c:v>
                </c:pt>
              </c:numCache>
            </c:numRef>
          </c:val>
          <c:extLst>
            <c:ext xmlns:c16="http://schemas.microsoft.com/office/drawing/2014/chart" uri="{C3380CC4-5D6E-409C-BE32-E72D297353CC}">
              <c16:uniqueId val="{00000000-23EC-4B32-B137-683BA29A7DDD}"/>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878-4909-922E-7F7D502F5F0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878-4909-922E-7F7D502F5F0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878-4909-922E-7F7D502F5F0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F878-4909-922E-7F7D502F5F0C}"/>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Trending!$B$104:$B$113</c:f>
              <c:strCache>
                <c:ptCount val="10"/>
                <c:pt idx="0">
                  <c:v>12/8/2025</c:v>
                </c:pt>
                <c:pt idx="1">
                  <c:v>12/11/2025</c:v>
                </c:pt>
                <c:pt idx="2">
                  <c:v>12/15/2025</c:v>
                </c:pt>
                <c:pt idx="3">
                  <c:v>18-Dec</c:v>
                </c:pt>
                <c:pt idx="4">
                  <c:v>12/22/2025</c:v>
                </c:pt>
                <c:pt idx="5">
                  <c:v>12/29/2025</c:v>
                </c:pt>
                <c:pt idx="6">
                  <c:v>01/05/20206</c:v>
                </c:pt>
                <c:pt idx="7">
                  <c:v>1/8/2026</c:v>
                </c:pt>
                <c:pt idx="8">
                  <c:v>1/12/2026</c:v>
                </c:pt>
                <c:pt idx="9">
                  <c:v>1/15/2026</c:v>
                </c:pt>
              </c:strCache>
            </c:strRef>
          </c:cat>
          <c:val>
            <c:numRef>
              <c:f>Trending!$C$104:$C$113</c:f>
              <c:numCache>
                <c:formatCode>General</c:formatCode>
                <c:ptCount val="10"/>
                <c:pt idx="0">
                  <c:v>57</c:v>
                </c:pt>
                <c:pt idx="1">
                  <c:v>52</c:v>
                </c:pt>
                <c:pt idx="2">
                  <c:v>49</c:v>
                </c:pt>
                <c:pt idx="3">
                  <c:v>68</c:v>
                </c:pt>
                <c:pt idx="4">
                  <c:v>65</c:v>
                </c:pt>
                <c:pt idx="5">
                  <c:v>68</c:v>
                </c:pt>
                <c:pt idx="6">
                  <c:v>62</c:v>
                </c:pt>
                <c:pt idx="7">
                  <c:v>60</c:v>
                </c:pt>
                <c:pt idx="8">
                  <c:v>57</c:v>
                </c:pt>
                <c:pt idx="9">
                  <c:v>56</c:v>
                </c:pt>
              </c:numCache>
            </c:numRef>
          </c:val>
          <c:extLst>
            <c:ext xmlns:c16="http://schemas.microsoft.com/office/drawing/2014/chart" uri="{C3380CC4-5D6E-409C-BE32-E72D297353CC}">
              <c16:uniqueId val="{00000000-E967-43C0-B6E4-D1F48CE17D7B}"/>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16B-47BA-8C38-75531FE36C6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16B-47BA-8C38-75531FE36C6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16B-47BA-8C38-75531FE36C6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416B-47BA-8C38-75531FE36C6C}"/>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Trending!$B$103:$B$112</c:f>
              <c:strCache>
                <c:ptCount val="10"/>
                <c:pt idx="0">
                  <c:v>12/4/2025</c:v>
                </c:pt>
                <c:pt idx="1">
                  <c:v>12/8/2025</c:v>
                </c:pt>
                <c:pt idx="2">
                  <c:v>12/11/2025</c:v>
                </c:pt>
                <c:pt idx="3">
                  <c:v>12/15/2025</c:v>
                </c:pt>
                <c:pt idx="4">
                  <c:v>18-Dec</c:v>
                </c:pt>
                <c:pt idx="5">
                  <c:v>12/22/2025</c:v>
                </c:pt>
                <c:pt idx="6">
                  <c:v>12/29/2025</c:v>
                </c:pt>
                <c:pt idx="7">
                  <c:v>01/05/20206</c:v>
                </c:pt>
                <c:pt idx="8">
                  <c:v>1/8/2026</c:v>
                </c:pt>
                <c:pt idx="9">
                  <c:v>1/12/2026</c:v>
                </c:pt>
              </c:strCache>
            </c:strRef>
          </c:cat>
          <c:val>
            <c:numRef>
              <c:f>Trending!$C$103:$C$112</c:f>
              <c:numCache>
                <c:formatCode>General</c:formatCode>
                <c:ptCount val="10"/>
                <c:pt idx="0">
                  <c:v>53</c:v>
                </c:pt>
                <c:pt idx="1">
                  <c:v>57</c:v>
                </c:pt>
                <c:pt idx="2">
                  <c:v>52</c:v>
                </c:pt>
                <c:pt idx="3">
                  <c:v>49</c:v>
                </c:pt>
                <c:pt idx="4">
                  <c:v>68</c:v>
                </c:pt>
                <c:pt idx="5">
                  <c:v>65</c:v>
                </c:pt>
                <c:pt idx="6">
                  <c:v>68</c:v>
                </c:pt>
                <c:pt idx="7">
                  <c:v>62</c:v>
                </c:pt>
                <c:pt idx="8">
                  <c:v>60</c:v>
                </c:pt>
                <c:pt idx="9">
                  <c:v>57</c:v>
                </c:pt>
              </c:numCache>
            </c:numRef>
          </c:val>
          <c:extLst>
            <c:ext xmlns:c16="http://schemas.microsoft.com/office/drawing/2014/chart" uri="{C3380CC4-5D6E-409C-BE32-E72D297353CC}">
              <c16:uniqueId val="{00000000-766E-4C4E-963D-5102AE68486A}"/>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5D0-4540-B9B0-E926E44BF6A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5D0-4540-B9B0-E926E44BF6A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5D0-4540-B9B0-E926E44BF6A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55D0-4540-B9B0-E926E44BF6AE}"/>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Trending!$B$102:$B$111</c:f>
              <c:strCache>
                <c:ptCount val="10"/>
                <c:pt idx="0">
                  <c:v>12/1/2025</c:v>
                </c:pt>
                <c:pt idx="1">
                  <c:v>12/4/2025</c:v>
                </c:pt>
                <c:pt idx="2">
                  <c:v>12/8/2025</c:v>
                </c:pt>
                <c:pt idx="3">
                  <c:v>12/11/2025</c:v>
                </c:pt>
                <c:pt idx="4">
                  <c:v>12/15/2025</c:v>
                </c:pt>
                <c:pt idx="5">
                  <c:v>18-Dec</c:v>
                </c:pt>
                <c:pt idx="6">
                  <c:v>12/22/2025</c:v>
                </c:pt>
                <c:pt idx="7">
                  <c:v>12/29/2025</c:v>
                </c:pt>
                <c:pt idx="8">
                  <c:v>01/05/20206</c:v>
                </c:pt>
                <c:pt idx="9">
                  <c:v>1/8/2026</c:v>
                </c:pt>
              </c:strCache>
            </c:strRef>
          </c:cat>
          <c:val>
            <c:numRef>
              <c:f>Trending!$C$102:$C$111</c:f>
              <c:numCache>
                <c:formatCode>General</c:formatCode>
                <c:ptCount val="10"/>
                <c:pt idx="0">
                  <c:v>51</c:v>
                </c:pt>
                <c:pt idx="1">
                  <c:v>53</c:v>
                </c:pt>
                <c:pt idx="2">
                  <c:v>57</c:v>
                </c:pt>
                <c:pt idx="3">
                  <c:v>52</c:v>
                </c:pt>
                <c:pt idx="4">
                  <c:v>49</c:v>
                </c:pt>
                <c:pt idx="5">
                  <c:v>68</c:v>
                </c:pt>
                <c:pt idx="6">
                  <c:v>65</c:v>
                </c:pt>
                <c:pt idx="7">
                  <c:v>68</c:v>
                </c:pt>
                <c:pt idx="8">
                  <c:v>62</c:v>
                </c:pt>
                <c:pt idx="9">
                  <c:v>60</c:v>
                </c:pt>
              </c:numCache>
            </c:numRef>
          </c:val>
          <c:extLst>
            <c:ext xmlns:c16="http://schemas.microsoft.com/office/drawing/2014/chart" uri="{C3380CC4-5D6E-409C-BE32-E72D297353CC}">
              <c16:uniqueId val="{00000000-0D6B-4F61-90B7-84CFB239384A}"/>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Target Fill</a:t>
            </a:r>
            <a:r>
              <a:rPr lang="en-US" baseline="0"/>
              <a:t> Date</a:t>
            </a:r>
          </a:p>
          <a:p>
            <a:pPr>
              <a:defRPr/>
            </a:pPr>
            <a:r>
              <a:rPr lang="en-US"/>
              <a:t>#/Reqs</a:t>
            </a:r>
          </a:p>
        </c:rich>
      </c:tx>
      <c:layout>
        <c:manualLayout>
          <c:xMode val="edge"/>
          <c:yMode val="edge"/>
          <c:x val="0.77656485041369627"/>
          <c:y val="0.1575038264589304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516989479150401E-2"/>
          <c:y val="0.17665729794445501"/>
          <c:w val="0.83774050242381071"/>
          <c:h val="0.65849925846856383"/>
        </c:manualLayout>
      </c:layout>
      <c:pie3DChart>
        <c:varyColors val="1"/>
        <c:ser>
          <c:idx val="0"/>
          <c:order val="0"/>
          <c:tx>
            <c:v>#/Reqs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40D-4C19-A6E0-38ED47903F0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40D-4C19-A6E0-38ED47903F0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40D-4C19-A6E0-38ED47903F0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Lit>
              <c:formatCode>General</c:formatCode>
              <c:ptCount val="3"/>
              <c:pt idx="0">
                <c:v>17</c:v>
              </c:pt>
              <c:pt idx="1">
                <c:v>3</c:v>
              </c:pt>
              <c:pt idx="2">
                <c:v>4</c:v>
              </c:pt>
            </c:numLit>
          </c:val>
          <c:extLst>
            <c:ext xmlns:c15="http://schemas.microsoft.com/office/drawing/2012/chart" uri="{02D57815-91ED-43cb-92C2-25804820EDAC}">
              <c15:filteredCategoryTitle>
                <c15:cat>
                  <c:strLit>
                    <c:ptCount val="3"/>
                    <c:pt idx="0">
                      <c:v>Missed Target Date</c:v>
                    </c:pt>
                    <c:pt idx="1">
                      <c:v>Approaching Target Hire Date</c:v>
                    </c:pt>
                    <c:pt idx="2">
                      <c:v>Within Target Date</c:v>
                    </c:pt>
                  </c:strLit>
                </c15:cat>
              </c15:filteredCategoryTitle>
            </c:ext>
            <c:ext xmlns:c16="http://schemas.microsoft.com/office/drawing/2014/chart" uri="{C3380CC4-5D6E-409C-BE32-E72D297353CC}">
              <c16:uniqueId val="{00000006-240D-4C19-A6E0-38ED47903F04}"/>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Trending!$B$101:$B$110</c:f>
              <c:strCache>
                <c:ptCount val="10"/>
                <c:pt idx="0">
                  <c:v>11/24/2025</c:v>
                </c:pt>
                <c:pt idx="1">
                  <c:v>12/1/2025</c:v>
                </c:pt>
                <c:pt idx="2">
                  <c:v>12/4/2025</c:v>
                </c:pt>
                <c:pt idx="3">
                  <c:v>12/8/2025</c:v>
                </c:pt>
                <c:pt idx="4">
                  <c:v>12/11/2025</c:v>
                </c:pt>
                <c:pt idx="5">
                  <c:v>12/15/2025</c:v>
                </c:pt>
                <c:pt idx="6">
                  <c:v>18-Dec</c:v>
                </c:pt>
                <c:pt idx="7">
                  <c:v>12/22/2025</c:v>
                </c:pt>
                <c:pt idx="8">
                  <c:v>12/29/2025</c:v>
                </c:pt>
                <c:pt idx="9">
                  <c:v>01/05/20206</c:v>
                </c:pt>
              </c:strCache>
            </c:strRef>
          </c:cat>
          <c:val>
            <c:numRef>
              <c:f>Trending!$C$101:$C$110</c:f>
              <c:numCache>
                <c:formatCode>General</c:formatCode>
                <c:ptCount val="10"/>
                <c:pt idx="0">
                  <c:v>62</c:v>
                </c:pt>
                <c:pt idx="1">
                  <c:v>51</c:v>
                </c:pt>
                <c:pt idx="2">
                  <c:v>53</c:v>
                </c:pt>
                <c:pt idx="3">
                  <c:v>57</c:v>
                </c:pt>
                <c:pt idx="4">
                  <c:v>52</c:v>
                </c:pt>
                <c:pt idx="5">
                  <c:v>49</c:v>
                </c:pt>
                <c:pt idx="6">
                  <c:v>68</c:v>
                </c:pt>
                <c:pt idx="7">
                  <c:v>65</c:v>
                </c:pt>
                <c:pt idx="8">
                  <c:v>68</c:v>
                </c:pt>
                <c:pt idx="9">
                  <c:v>62</c:v>
                </c:pt>
              </c:numCache>
            </c:numRef>
          </c:val>
          <c:extLst>
            <c:ext xmlns:c16="http://schemas.microsoft.com/office/drawing/2014/chart" uri="{C3380CC4-5D6E-409C-BE32-E72D297353CC}">
              <c16:uniqueId val="{00000000-CD0C-4C89-9638-E0B4921DC7AE}"/>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#/Open Postions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5.8918440792375883E-2"/>
          <c:y val="0.16344217022245708"/>
          <c:w val="0.90667298845708799"/>
          <c:h val="0.59437141785848202"/>
        </c:manualLayout>
      </c:layout>
      <c:barChart>
        <c:barDir val="col"/>
        <c:grouping val="clustered"/>
        <c:varyColors val="0"/>
        <c:ser>
          <c:idx val="0"/>
          <c:order val="0"/>
          <c:tx>
            <c:strRef>
              <c:f>Trending!$C$6</c:f>
              <c:strCache>
                <c:ptCount val="1"/>
                <c:pt idx="0">
                  <c:v>#/Open Postiions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Trending!$B$123:$B$132</c:f>
              <c:numCache>
                <c:formatCode>m/d/yyyy</c:formatCode>
                <c:ptCount val="10"/>
                <c:pt idx="0">
                  <c:v>46072</c:v>
                </c:pt>
                <c:pt idx="1">
                  <c:v>46076</c:v>
                </c:pt>
                <c:pt idx="2">
                  <c:v>46079</c:v>
                </c:pt>
                <c:pt idx="3">
                  <c:v>46083</c:v>
                </c:pt>
                <c:pt idx="4">
                  <c:v>46086</c:v>
                </c:pt>
                <c:pt idx="5">
                  <c:v>46090</c:v>
                </c:pt>
                <c:pt idx="6">
                  <c:v>46093</c:v>
                </c:pt>
                <c:pt idx="7">
                  <c:v>46097</c:v>
                </c:pt>
                <c:pt idx="8">
                  <c:v>46100</c:v>
                </c:pt>
                <c:pt idx="9">
                  <c:v>46104</c:v>
                </c:pt>
              </c:numCache>
            </c:numRef>
          </c:cat>
          <c:val>
            <c:numRef>
              <c:f>Trending!$C$123:$C$132</c:f>
              <c:numCache>
                <c:formatCode>General</c:formatCode>
                <c:ptCount val="10"/>
                <c:pt idx="0">
                  <c:v>65</c:v>
                </c:pt>
                <c:pt idx="1">
                  <c:v>62</c:v>
                </c:pt>
                <c:pt idx="2">
                  <c:v>60</c:v>
                </c:pt>
                <c:pt idx="3">
                  <c:v>63</c:v>
                </c:pt>
                <c:pt idx="4">
                  <c:v>60</c:v>
                </c:pt>
                <c:pt idx="5">
                  <c:v>61</c:v>
                </c:pt>
                <c:pt idx="6">
                  <c:v>61</c:v>
                </c:pt>
                <c:pt idx="7">
                  <c:v>56</c:v>
                </c:pt>
                <c:pt idx="8">
                  <c:v>55</c:v>
                </c:pt>
                <c:pt idx="9">
                  <c:v>57</c:v>
                </c:pt>
              </c:numCache>
            </c:numRef>
          </c:val>
          <c:extLst>
            <c:ext xmlns:c16="http://schemas.microsoft.com/office/drawing/2014/chart" uri="{C3380CC4-5D6E-409C-BE32-E72D297353CC}">
              <c16:uniqueId val="{00000000-9959-4E8F-A823-37D116972B0F}"/>
            </c:ext>
          </c:extLst>
        </c:ser>
        <c:dLbls>
          <c:dLblPos val="inEnd"/>
          <c:showLegendKey val="0"/>
          <c:showVal val="1"/>
          <c:showCatName val="0"/>
          <c:showSerName val="0"/>
          <c:showPercent val="0"/>
          <c:showBubbleSize val="0"/>
        </c:dLbls>
        <c:gapWidth val="41"/>
        <c:axId val="729534432"/>
        <c:axId val="37988560"/>
      </c:barChart>
      <c:catAx>
        <c:axId val="729534432"/>
        <c:scaling>
          <c:orientation val="minMax"/>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7988560"/>
        <c:crosses val="autoZero"/>
        <c:auto val="0"/>
        <c:lblAlgn val="ctr"/>
        <c:lblOffset val="100"/>
        <c:noMultiLvlLbl val="0"/>
      </c:catAx>
      <c:valAx>
        <c:axId val="37988560"/>
        <c:scaling>
          <c:orientation val="minMax"/>
        </c:scaling>
        <c:delete val="1"/>
        <c:axPos val="l"/>
        <c:numFmt formatCode="General" sourceLinked="1"/>
        <c:majorTickMark val="none"/>
        <c:minorTickMark val="none"/>
        <c:tickLblPos val="nextTo"/>
        <c:crossAx val="72953443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47.xml"/></Relationships>
</file>

<file path=xl/drawings/drawing1.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11</xdr:row>
      <xdr:rowOff>86813</xdr:rowOff>
    </xdr:to>
    <xdr:graphicFrame macro="">
      <xdr:nvGraphicFramePr>
        <xdr:cNvPr id="2" name="Chart 1">
          <a:extLst>
            <a:ext uri="{FF2B5EF4-FFF2-40B4-BE49-F238E27FC236}">
              <a16:creationId xmlns:a16="http://schemas.microsoft.com/office/drawing/2014/main" id="{1E32D956-AF04-4C19-9A87-F4557882E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1626011</xdr:colOff>
      <xdr:row>14</xdr:row>
      <xdr:rowOff>119720</xdr:rowOff>
    </xdr:to>
    <xdr:graphicFrame macro="">
      <xdr:nvGraphicFramePr>
        <xdr:cNvPr id="4" name="Chart 3">
          <a:extLst>
            <a:ext uri="{FF2B5EF4-FFF2-40B4-BE49-F238E27FC236}">
              <a16:creationId xmlns:a16="http://schemas.microsoft.com/office/drawing/2014/main" id="{8D4154AC-61EA-4903-81EB-BA8609A2C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12</xdr:row>
      <xdr:rowOff>86813</xdr:rowOff>
    </xdr:to>
    <xdr:graphicFrame macro="">
      <xdr:nvGraphicFramePr>
        <xdr:cNvPr id="2" name="Chart 1">
          <a:extLst>
            <a:ext uri="{FF2B5EF4-FFF2-40B4-BE49-F238E27FC236}">
              <a16:creationId xmlns:a16="http://schemas.microsoft.com/office/drawing/2014/main" id="{30995783-1E58-4F7F-92D1-8CC05CA92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1725071</xdr:colOff>
      <xdr:row>14</xdr:row>
      <xdr:rowOff>107661</xdr:rowOff>
    </xdr:to>
    <xdr:graphicFrame macro="">
      <xdr:nvGraphicFramePr>
        <xdr:cNvPr id="4" name="Chart 3">
          <a:extLst>
            <a:ext uri="{FF2B5EF4-FFF2-40B4-BE49-F238E27FC236}">
              <a16:creationId xmlns:a16="http://schemas.microsoft.com/office/drawing/2014/main" id="{18C592E4-3CD0-4803-A369-C500FB29D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13</xdr:row>
      <xdr:rowOff>86813</xdr:rowOff>
    </xdr:to>
    <xdr:graphicFrame macro="">
      <xdr:nvGraphicFramePr>
        <xdr:cNvPr id="2" name="Chart 1">
          <a:extLst>
            <a:ext uri="{FF2B5EF4-FFF2-40B4-BE49-F238E27FC236}">
              <a16:creationId xmlns:a16="http://schemas.microsoft.com/office/drawing/2014/main" id="{F3E93DA0-C12D-452C-A087-412020729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1725071</xdr:colOff>
      <xdr:row>14</xdr:row>
      <xdr:rowOff>107661</xdr:rowOff>
    </xdr:to>
    <xdr:graphicFrame macro="">
      <xdr:nvGraphicFramePr>
        <xdr:cNvPr id="4" name="Chart 3">
          <a:extLst>
            <a:ext uri="{FF2B5EF4-FFF2-40B4-BE49-F238E27FC236}">
              <a16:creationId xmlns:a16="http://schemas.microsoft.com/office/drawing/2014/main" id="{8DE9F35A-9F48-4EC4-BF81-B03C12A84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15</xdr:row>
      <xdr:rowOff>86813</xdr:rowOff>
    </xdr:to>
    <xdr:graphicFrame macro="">
      <xdr:nvGraphicFramePr>
        <xdr:cNvPr id="2" name="Chart 1">
          <a:extLst>
            <a:ext uri="{FF2B5EF4-FFF2-40B4-BE49-F238E27FC236}">
              <a16:creationId xmlns:a16="http://schemas.microsoft.com/office/drawing/2014/main" id="{1B80FB99-4F1D-427A-87FB-4BA70F74D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1684434</xdr:colOff>
      <xdr:row>15</xdr:row>
      <xdr:rowOff>1773</xdr:rowOff>
    </xdr:to>
    <xdr:graphicFrame macro="">
      <xdr:nvGraphicFramePr>
        <xdr:cNvPr id="4" name="Chart 3">
          <a:extLst>
            <a:ext uri="{FF2B5EF4-FFF2-40B4-BE49-F238E27FC236}">
              <a16:creationId xmlns:a16="http://schemas.microsoft.com/office/drawing/2014/main" id="{9A317ADB-F0DE-4B7F-AA1A-74F4067BE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15</xdr:row>
      <xdr:rowOff>86813</xdr:rowOff>
    </xdr:to>
    <xdr:graphicFrame macro="">
      <xdr:nvGraphicFramePr>
        <xdr:cNvPr id="2" name="Chart 1">
          <a:extLst>
            <a:ext uri="{FF2B5EF4-FFF2-40B4-BE49-F238E27FC236}">
              <a16:creationId xmlns:a16="http://schemas.microsoft.com/office/drawing/2014/main" id="{37D2F9E8-4163-4A15-8753-922C0350E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1684434</xdr:colOff>
      <xdr:row>15</xdr:row>
      <xdr:rowOff>1773</xdr:rowOff>
    </xdr:to>
    <xdr:graphicFrame macro="">
      <xdr:nvGraphicFramePr>
        <xdr:cNvPr id="4" name="Chart 3">
          <a:extLst>
            <a:ext uri="{FF2B5EF4-FFF2-40B4-BE49-F238E27FC236}">
              <a16:creationId xmlns:a16="http://schemas.microsoft.com/office/drawing/2014/main" id="{FB8D5A2F-50A9-4563-B9FF-06CA8E2AC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15</xdr:row>
      <xdr:rowOff>86813</xdr:rowOff>
    </xdr:to>
    <xdr:graphicFrame macro="">
      <xdr:nvGraphicFramePr>
        <xdr:cNvPr id="2" name="Chart 1">
          <a:extLst>
            <a:ext uri="{FF2B5EF4-FFF2-40B4-BE49-F238E27FC236}">
              <a16:creationId xmlns:a16="http://schemas.microsoft.com/office/drawing/2014/main" id="{1AFB0797-4749-4444-999A-E9A0F0D0F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1706550</xdr:colOff>
      <xdr:row>14</xdr:row>
      <xdr:rowOff>99724</xdr:rowOff>
    </xdr:to>
    <xdr:graphicFrame macro="">
      <xdr:nvGraphicFramePr>
        <xdr:cNvPr id="4" name="Chart 3">
          <a:extLst>
            <a:ext uri="{FF2B5EF4-FFF2-40B4-BE49-F238E27FC236}">
              <a16:creationId xmlns:a16="http://schemas.microsoft.com/office/drawing/2014/main" id="{2B5156F6-4C4F-4218-9FBD-AACD843E3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15</xdr:row>
      <xdr:rowOff>86813</xdr:rowOff>
    </xdr:to>
    <xdr:graphicFrame macro="">
      <xdr:nvGraphicFramePr>
        <xdr:cNvPr id="2" name="Chart 1">
          <a:extLst>
            <a:ext uri="{FF2B5EF4-FFF2-40B4-BE49-F238E27FC236}">
              <a16:creationId xmlns:a16="http://schemas.microsoft.com/office/drawing/2014/main" id="{1D295759-4E15-47A4-805A-450276C54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317500</xdr:colOff>
      <xdr:row>2</xdr:row>
      <xdr:rowOff>28222</xdr:rowOff>
    </xdr:from>
    <xdr:to>
      <xdr:col>17</xdr:col>
      <xdr:colOff>1479982</xdr:colOff>
      <xdr:row>14</xdr:row>
      <xdr:rowOff>179013</xdr:rowOff>
    </xdr:to>
    <xdr:graphicFrame macro="">
      <xdr:nvGraphicFramePr>
        <xdr:cNvPr id="4" name="Chart 3">
          <a:extLst>
            <a:ext uri="{FF2B5EF4-FFF2-40B4-BE49-F238E27FC236}">
              <a16:creationId xmlns:a16="http://schemas.microsoft.com/office/drawing/2014/main" id="{56C0E37F-A2C5-4FC8-9CFD-4D7B35DA9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15</xdr:row>
      <xdr:rowOff>86813</xdr:rowOff>
    </xdr:to>
    <xdr:graphicFrame macro="">
      <xdr:nvGraphicFramePr>
        <xdr:cNvPr id="2" name="Chart 1">
          <a:extLst>
            <a:ext uri="{FF2B5EF4-FFF2-40B4-BE49-F238E27FC236}">
              <a16:creationId xmlns:a16="http://schemas.microsoft.com/office/drawing/2014/main" id="{43D45632-58CD-4201-BC70-F9D152AD0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1706550</xdr:colOff>
      <xdr:row>14</xdr:row>
      <xdr:rowOff>99724</xdr:rowOff>
    </xdr:to>
    <xdr:graphicFrame macro="">
      <xdr:nvGraphicFramePr>
        <xdr:cNvPr id="4" name="Chart 3">
          <a:extLst>
            <a:ext uri="{FF2B5EF4-FFF2-40B4-BE49-F238E27FC236}">
              <a16:creationId xmlns:a16="http://schemas.microsoft.com/office/drawing/2014/main" id="{E24E0DD5-AD38-417F-BE40-0F29D5E13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15</xdr:row>
      <xdr:rowOff>86813</xdr:rowOff>
    </xdr:to>
    <xdr:graphicFrame macro="">
      <xdr:nvGraphicFramePr>
        <xdr:cNvPr id="2" name="Chart 1">
          <a:extLst>
            <a:ext uri="{FF2B5EF4-FFF2-40B4-BE49-F238E27FC236}">
              <a16:creationId xmlns:a16="http://schemas.microsoft.com/office/drawing/2014/main" id="{EF33F1D0-4340-4E61-AE3D-D99D7BA17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1706550</xdr:colOff>
      <xdr:row>14</xdr:row>
      <xdr:rowOff>99724</xdr:rowOff>
    </xdr:to>
    <xdr:graphicFrame macro="">
      <xdr:nvGraphicFramePr>
        <xdr:cNvPr id="4" name="Chart 3">
          <a:extLst>
            <a:ext uri="{FF2B5EF4-FFF2-40B4-BE49-F238E27FC236}">
              <a16:creationId xmlns:a16="http://schemas.microsoft.com/office/drawing/2014/main" id="{280657F0-C514-461D-9A57-51E0D2C3E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15</xdr:row>
      <xdr:rowOff>86813</xdr:rowOff>
    </xdr:to>
    <xdr:graphicFrame macro="">
      <xdr:nvGraphicFramePr>
        <xdr:cNvPr id="2" name="Chart 1">
          <a:extLst>
            <a:ext uri="{FF2B5EF4-FFF2-40B4-BE49-F238E27FC236}">
              <a16:creationId xmlns:a16="http://schemas.microsoft.com/office/drawing/2014/main" id="{ACE13607-37A1-4515-BD42-CAB31E2B2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1766085</xdr:colOff>
      <xdr:row>14</xdr:row>
      <xdr:rowOff>147616</xdr:rowOff>
    </xdr:to>
    <xdr:graphicFrame macro="">
      <xdr:nvGraphicFramePr>
        <xdr:cNvPr id="4" name="Chart 3">
          <a:extLst>
            <a:ext uri="{FF2B5EF4-FFF2-40B4-BE49-F238E27FC236}">
              <a16:creationId xmlns:a16="http://schemas.microsoft.com/office/drawing/2014/main" id="{4AB555F6-3A4B-4712-89A5-824A387DC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15</xdr:row>
      <xdr:rowOff>86813</xdr:rowOff>
    </xdr:to>
    <xdr:graphicFrame macro="">
      <xdr:nvGraphicFramePr>
        <xdr:cNvPr id="2" name="Chart 1">
          <a:extLst>
            <a:ext uri="{FF2B5EF4-FFF2-40B4-BE49-F238E27FC236}">
              <a16:creationId xmlns:a16="http://schemas.microsoft.com/office/drawing/2014/main" id="{29EDD111-384D-466A-A948-2D98AFB2A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1645062</xdr:colOff>
      <xdr:row>14</xdr:row>
      <xdr:rowOff>117814</xdr:rowOff>
    </xdr:to>
    <xdr:graphicFrame macro="">
      <xdr:nvGraphicFramePr>
        <xdr:cNvPr id="4" name="Chart 3">
          <a:extLst>
            <a:ext uri="{FF2B5EF4-FFF2-40B4-BE49-F238E27FC236}">
              <a16:creationId xmlns:a16="http://schemas.microsoft.com/office/drawing/2014/main" id="{26A2E9D5-8381-4502-A6BC-E0F554FA1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15</xdr:row>
      <xdr:rowOff>86813</xdr:rowOff>
    </xdr:to>
    <xdr:graphicFrame macro="">
      <xdr:nvGraphicFramePr>
        <xdr:cNvPr id="2" name="Chart 1">
          <a:extLst>
            <a:ext uri="{FF2B5EF4-FFF2-40B4-BE49-F238E27FC236}">
              <a16:creationId xmlns:a16="http://schemas.microsoft.com/office/drawing/2014/main" id="{4973E79D-0800-4DEB-8126-456295C4E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333375</xdr:colOff>
      <xdr:row>2</xdr:row>
      <xdr:rowOff>23813</xdr:rowOff>
    </xdr:from>
    <xdr:to>
      <xdr:col>17</xdr:col>
      <xdr:colOff>1428476</xdr:colOff>
      <xdr:row>15</xdr:row>
      <xdr:rowOff>3791</xdr:rowOff>
    </xdr:to>
    <xdr:graphicFrame macro="">
      <xdr:nvGraphicFramePr>
        <xdr:cNvPr id="5" name="Chart 4">
          <a:extLst>
            <a:ext uri="{FF2B5EF4-FFF2-40B4-BE49-F238E27FC236}">
              <a16:creationId xmlns:a16="http://schemas.microsoft.com/office/drawing/2014/main" id="{ACAE4695-DC75-44B4-A7CE-45C55C34C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16</xdr:row>
      <xdr:rowOff>86813</xdr:rowOff>
    </xdr:to>
    <xdr:graphicFrame macro="">
      <xdr:nvGraphicFramePr>
        <xdr:cNvPr id="2" name="Chart 1">
          <a:extLst>
            <a:ext uri="{FF2B5EF4-FFF2-40B4-BE49-F238E27FC236}">
              <a16:creationId xmlns:a16="http://schemas.microsoft.com/office/drawing/2014/main" id="{163A7FA2-1AC6-4004-92CC-9797EB71D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1635537</xdr:colOff>
      <xdr:row>13</xdr:row>
      <xdr:rowOff>110194</xdr:rowOff>
    </xdr:to>
    <xdr:graphicFrame macro="">
      <xdr:nvGraphicFramePr>
        <xdr:cNvPr id="4" name="Chart 3">
          <a:extLst>
            <a:ext uri="{FF2B5EF4-FFF2-40B4-BE49-F238E27FC236}">
              <a16:creationId xmlns:a16="http://schemas.microsoft.com/office/drawing/2014/main" id="{DEB3032C-FCB0-4312-95E2-00B30D1B4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17</xdr:row>
      <xdr:rowOff>86813</xdr:rowOff>
    </xdr:to>
    <xdr:graphicFrame macro="">
      <xdr:nvGraphicFramePr>
        <xdr:cNvPr id="2" name="Chart 1">
          <a:extLst>
            <a:ext uri="{FF2B5EF4-FFF2-40B4-BE49-F238E27FC236}">
              <a16:creationId xmlns:a16="http://schemas.microsoft.com/office/drawing/2014/main" id="{70674EF5-6D37-4A54-A2E5-3712AF55B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510064</xdr:colOff>
      <xdr:row>2</xdr:row>
      <xdr:rowOff>49529</xdr:rowOff>
    </xdr:from>
    <xdr:to>
      <xdr:col>17</xdr:col>
      <xdr:colOff>1520284</xdr:colOff>
      <xdr:row>14</xdr:row>
      <xdr:rowOff>161628</xdr:rowOff>
    </xdr:to>
    <xdr:graphicFrame macro="">
      <xdr:nvGraphicFramePr>
        <xdr:cNvPr id="4" name="Chart 3">
          <a:extLst>
            <a:ext uri="{FF2B5EF4-FFF2-40B4-BE49-F238E27FC236}">
              <a16:creationId xmlns:a16="http://schemas.microsoft.com/office/drawing/2014/main" id="{7C3CEFDB-5531-4B42-A64B-F0A90D461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17</xdr:row>
      <xdr:rowOff>86813</xdr:rowOff>
    </xdr:to>
    <xdr:graphicFrame macro="">
      <xdr:nvGraphicFramePr>
        <xdr:cNvPr id="2" name="Chart 1">
          <a:extLst>
            <a:ext uri="{FF2B5EF4-FFF2-40B4-BE49-F238E27FC236}">
              <a16:creationId xmlns:a16="http://schemas.microsoft.com/office/drawing/2014/main" id="{B54EF16D-2385-4DED-AD25-A6A57C0C4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1659349</xdr:colOff>
      <xdr:row>14</xdr:row>
      <xdr:rowOff>87703</xdr:rowOff>
    </xdr:to>
    <xdr:graphicFrame macro="">
      <xdr:nvGraphicFramePr>
        <xdr:cNvPr id="4" name="Chart 3">
          <a:extLst>
            <a:ext uri="{FF2B5EF4-FFF2-40B4-BE49-F238E27FC236}">
              <a16:creationId xmlns:a16="http://schemas.microsoft.com/office/drawing/2014/main" id="{B985C500-814E-4749-A18C-A47A25B52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17</xdr:row>
      <xdr:rowOff>86813</xdr:rowOff>
    </xdr:to>
    <xdr:graphicFrame macro="">
      <xdr:nvGraphicFramePr>
        <xdr:cNvPr id="2" name="Chart 1">
          <a:extLst>
            <a:ext uri="{FF2B5EF4-FFF2-40B4-BE49-F238E27FC236}">
              <a16:creationId xmlns:a16="http://schemas.microsoft.com/office/drawing/2014/main" id="{4154A8E8-7EA5-4E84-B600-F73A987A2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1653634</xdr:colOff>
      <xdr:row>14</xdr:row>
      <xdr:rowOff>91513</xdr:rowOff>
    </xdr:to>
    <xdr:graphicFrame macro="">
      <xdr:nvGraphicFramePr>
        <xdr:cNvPr id="4" name="Chart 3">
          <a:extLst>
            <a:ext uri="{FF2B5EF4-FFF2-40B4-BE49-F238E27FC236}">
              <a16:creationId xmlns:a16="http://schemas.microsoft.com/office/drawing/2014/main" id="{874B9538-3D3B-4689-86E1-3B07929CA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17</xdr:row>
      <xdr:rowOff>86813</xdr:rowOff>
    </xdr:to>
    <xdr:graphicFrame macro="">
      <xdr:nvGraphicFramePr>
        <xdr:cNvPr id="2" name="Chart 1">
          <a:extLst>
            <a:ext uri="{FF2B5EF4-FFF2-40B4-BE49-F238E27FC236}">
              <a16:creationId xmlns:a16="http://schemas.microsoft.com/office/drawing/2014/main" id="{0A2640FC-79CA-4F2E-ABB1-CB659A015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1653634</xdr:colOff>
      <xdr:row>14</xdr:row>
      <xdr:rowOff>91513</xdr:rowOff>
    </xdr:to>
    <xdr:graphicFrame macro="">
      <xdr:nvGraphicFramePr>
        <xdr:cNvPr id="4" name="Chart 3">
          <a:extLst>
            <a:ext uri="{FF2B5EF4-FFF2-40B4-BE49-F238E27FC236}">
              <a16:creationId xmlns:a16="http://schemas.microsoft.com/office/drawing/2014/main" id="{6FEC5CEB-44BA-4B60-BE98-F18F42E51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17</xdr:row>
      <xdr:rowOff>86813</xdr:rowOff>
    </xdr:to>
    <xdr:graphicFrame macro="">
      <xdr:nvGraphicFramePr>
        <xdr:cNvPr id="2" name="Chart 1">
          <a:extLst>
            <a:ext uri="{FF2B5EF4-FFF2-40B4-BE49-F238E27FC236}">
              <a16:creationId xmlns:a16="http://schemas.microsoft.com/office/drawing/2014/main" id="{76E19EBF-F3B9-4E11-81AE-9D4DE9083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1653634</xdr:colOff>
      <xdr:row>14</xdr:row>
      <xdr:rowOff>91513</xdr:rowOff>
    </xdr:to>
    <xdr:graphicFrame macro="">
      <xdr:nvGraphicFramePr>
        <xdr:cNvPr id="5" name="Chart 4">
          <a:extLst>
            <a:ext uri="{FF2B5EF4-FFF2-40B4-BE49-F238E27FC236}">
              <a16:creationId xmlns:a16="http://schemas.microsoft.com/office/drawing/2014/main" id="{F0B59E79-FE4D-4294-92BE-6C983E80D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17</xdr:row>
      <xdr:rowOff>86813</xdr:rowOff>
    </xdr:to>
    <xdr:graphicFrame macro="">
      <xdr:nvGraphicFramePr>
        <xdr:cNvPr id="2" name="Chart 1">
          <a:extLst>
            <a:ext uri="{FF2B5EF4-FFF2-40B4-BE49-F238E27FC236}">
              <a16:creationId xmlns:a16="http://schemas.microsoft.com/office/drawing/2014/main" id="{FFFBEC72-FB6B-416D-9208-C296D56E4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1658173</xdr:colOff>
      <xdr:row>14</xdr:row>
      <xdr:rowOff>128861</xdr:rowOff>
    </xdr:to>
    <xdr:graphicFrame macro="">
      <xdr:nvGraphicFramePr>
        <xdr:cNvPr id="4" name="Chart 3">
          <a:extLst>
            <a:ext uri="{FF2B5EF4-FFF2-40B4-BE49-F238E27FC236}">
              <a16:creationId xmlns:a16="http://schemas.microsoft.com/office/drawing/2014/main" id="{84DF20E1-A783-41D5-BC54-0C3BE6374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18</xdr:row>
      <xdr:rowOff>86813</xdr:rowOff>
    </xdr:to>
    <xdr:graphicFrame macro="">
      <xdr:nvGraphicFramePr>
        <xdr:cNvPr id="2" name="Chart 1">
          <a:extLst>
            <a:ext uri="{FF2B5EF4-FFF2-40B4-BE49-F238E27FC236}">
              <a16:creationId xmlns:a16="http://schemas.microsoft.com/office/drawing/2014/main" id="{6A937B76-4CC0-4C8B-9B79-28C45252B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1658173</xdr:colOff>
      <xdr:row>14</xdr:row>
      <xdr:rowOff>128861</xdr:rowOff>
    </xdr:to>
    <xdr:graphicFrame macro="">
      <xdr:nvGraphicFramePr>
        <xdr:cNvPr id="4" name="Chart 3">
          <a:extLst>
            <a:ext uri="{FF2B5EF4-FFF2-40B4-BE49-F238E27FC236}">
              <a16:creationId xmlns:a16="http://schemas.microsoft.com/office/drawing/2014/main" id="{8AA219C9-4087-4E33-9573-C86F4D5A7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18</xdr:row>
      <xdr:rowOff>86813</xdr:rowOff>
    </xdr:to>
    <xdr:graphicFrame macro="">
      <xdr:nvGraphicFramePr>
        <xdr:cNvPr id="2" name="Chart 1">
          <a:extLst>
            <a:ext uri="{FF2B5EF4-FFF2-40B4-BE49-F238E27FC236}">
              <a16:creationId xmlns:a16="http://schemas.microsoft.com/office/drawing/2014/main" id="{DFEE29BD-2ACA-4129-B8C3-3B1FAA370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0</xdr:rowOff>
    </xdr:from>
    <xdr:to>
      <xdr:col>17</xdr:col>
      <xdr:colOff>1718044</xdr:colOff>
      <xdr:row>15</xdr:row>
      <xdr:rowOff>6629</xdr:rowOff>
    </xdr:to>
    <xdr:graphicFrame macro="">
      <xdr:nvGraphicFramePr>
        <xdr:cNvPr id="4" name="Chart 3">
          <a:extLst>
            <a:ext uri="{FF2B5EF4-FFF2-40B4-BE49-F238E27FC236}">
              <a16:creationId xmlns:a16="http://schemas.microsoft.com/office/drawing/2014/main" id="{19ECACC8-DB59-4AD8-A1F2-1F5155B46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19</xdr:row>
      <xdr:rowOff>86813</xdr:rowOff>
    </xdr:to>
    <xdr:graphicFrame macro="">
      <xdr:nvGraphicFramePr>
        <xdr:cNvPr id="2" name="Chart 1">
          <a:extLst>
            <a:ext uri="{FF2B5EF4-FFF2-40B4-BE49-F238E27FC236}">
              <a16:creationId xmlns:a16="http://schemas.microsoft.com/office/drawing/2014/main" id="{1F0885EF-33D2-4AA8-A072-28D7DB81E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376297</xdr:colOff>
      <xdr:row>2</xdr:row>
      <xdr:rowOff>54877</xdr:rowOff>
    </xdr:from>
    <xdr:to>
      <xdr:col>17</xdr:col>
      <xdr:colOff>1472480</xdr:colOff>
      <xdr:row>15</xdr:row>
      <xdr:rowOff>55156</xdr:rowOff>
    </xdr:to>
    <xdr:graphicFrame macro="">
      <xdr:nvGraphicFramePr>
        <xdr:cNvPr id="4" name="Chart 3">
          <a:extLst>
            <a:ext uri="{FF2B5EF4-FFF2-40B4-BE49-F238E27FC236}">
              <a16:creationId xmlns:a16="http://schemas.microsoft.com/office/drawing/2014/main" id="{84558796-A820-4254-8C2F-4AE4C9337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24</xdr:col>
      <xdr:colOff>62663</xdr:colOff>
      <xdr:row>1</xdr:row>
      <xdr:rowOff>11206</xdr:rowOff>
    </xdr:from>
    <xdr:to>
      <xdr:col>35</xdr:col>
      <xdr:colOff>244728</xdr:colOff>
      <xdr:row>19</xdr:row>
      <xdr:rowOff>86813</xdr:rowOff>
    </xdr:to>
    <xdr:graphicFrame macro="">
      <xdr:nvGraphicFramePr>
        <xdr:cNvPr id="2" name="Chart 1">
          <a:extLst>
            <a:ext uri="{FF2B5EF4-FFF2-40B4-BE49-F238E27FC236}">
              <a16:creationId xmlns:a16="http://schemas.microsoft.com/office/drawing/2014/main" id="{7A9CA0CA-0F66-4607-846E-B097AD1CC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199907</xdr:colOff>
      <xdr:row>2</xdr:row>
      <xdr:rowOff>23518</xdr:rowOff>
    </xdr:from>
    <xdr:to>
      <xdr:col>17</xdr:col>
      <xdr:colOff>1221503</xdr:colOff>
      <xdr:row>14</xdr:row>
      <xdr:rowOff>158949</xdr:rowOff>
    </xdr:to>
    <xdr:graphicFrame macro="">
      <xdr:nvGraphicFramePr>
        <xdr:cNvPr id="3" name="Chart 2">
          <a:extLst>
            <a:ext uri="{FF2B5EF4-FFF2-40B4-BE49-F238E27FC236}">
              <a16:creationId xmlns:a16="http://schemas.microsoft.com/office/drawing/2014/main" id="{46E14D32-1E42-40B5-8489-01EFB292E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3</xdr:col>
      <xdr:colOff>602835</xdr:colOff>
      <xdr:row>130</xdr:row>
      <xdr:rowOff>66011</xdr:rowOff>
    </xdr:from>
    <xdr:to>
      <xdr:col>11</xdr:col>
      <xdr:colOff>176101</xdr:colOff>
      <xdr:row>144</xdr:row>
      <xdr:rowOff>152086</xdr:rowOff>
    </xdr:to>
    <xdr:graphicFrame macro="">
      <xdr:nvGraphicFramePr>
        <xdr:cNvPr id="2" name="Chart 1">
          <a:extLst>
            <a:ext uri="{FF2B5EF4-FFF2-40B4-BE49-F238E27FC236}">
              <a16:creationId xmlns:a16="http://schemas.microsoft.com/office/drawing/2014/main" id="{D5326142-B18D-4903-88F4-319F5CE6B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FA4A-3BD6-4881-96B8-FB1B95D90813}">
  <sheetPr>
    <tabColor rgb="FF00B050"/>
  </sheetPr>
  <dimension ref="A1:AC66"/>
  <sheetViews>
    <sheetView showGridLines="0" tabSelected="1" zoomScale="80" zoomScaleNormal="80" workbookViewId="0">
      <selection activeCell="D21" sqref="D21"/>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0.33333333333333331</v>
      </c>
      <c r="B1" s="37">
        <v>46104</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73" t="s">
        <v>74</v>
      </c>
      <c r="B4" s="74">
        <v>46076</v>
      </c>
      <c r="C4" s="75">
        <v>1</v>
      </c>
      <c r="D4" s="75">
        <v>0</v>
      </c>
      <c r="E4" s="73" t="s">
        <v>75</v>
      </c>
      <c r="F4" s="73" t="s">
        <v>98</v>
      </c>
      <c r="G4" s="73" t="s">
        <v>7</v>
      </c>
      <c r="H4" s="73" t="s">
        <v>76</v>
      </c>
      <c r="I4" s="73" t="s">
        <v>9</v>
      </c>
      <c r="J4" s="73" t="s">
        <v>77</v>
      </c>
      <c r="K4" s="73" t="s">
        <v>13</v>
      </c>
      <c r="AB4" s="2" t="s">
        <v>10</v>
      </c>
      <c r="AC4" s="2" t="s">
        <v>11</v>
      </c>
    </row>
    <row r="5" spans="1:29" s="2" customFormat="1" x14ac:dyDescent="0.3">
      <c r="A5" s="73" t="s">
        <v>128</v>
      </c>
      <c r="B5" s="74">
        <v>46035</v>
      </c>
      <c r="C5" s="75">
        <v>1</v>
      </c>
      <c r="D5" s="75">
        <v>0</v>
      </c>
      <c r="E5" s="73" t="s">
        <v>129</v>
      </c>
      <c r="F5" s="73" t="s">
        <v>200</v>
      </c>
      <c r="G5" s="73" t="s">
        <v>7</v>
      </c>
      <c r="H5" s="73" t="s">
        <v>64</v>
      </c>
      <c r="I5" s="73" t="s">
        <v>9</v>
      </c>
      <c r="J5" s="73" t="s">
        <v>65</v>
      </c>
      <c r="K5" s="73" t="s">
        <v>48</v>
      </c>
      <c r="AB5" s="2" t="s">
        <v>14</v>
      </c>
      <c r="AC5" s="2">
        <v>17</v>
      </c>
    </row>
    <row r="6" spans="1:29" s="2" customFormat="1" x14ac:dyDescent="0.3">
      <c r="A6" s="73" t="s">
        <v>157</v>
      </c>
      <c r="B6" s="74">
        <v>46098</v>
      </c>
      <c r="C6" s="75">
        <v>1</v>
      </c>
      <c r="D6" s="75">
        <v>0</v>
      </c>
      <c r="E6" s="73" t="s">
        <v>158</v>
      </c>
      <c r="F6" s="73" t="s">
        <v>98</v>
      </c>
      <c r="G6" s="73" t="s">
        <v>7</v>
      </c>
      <c r="H6" s="73" t="s">
        <v>18</v>
      </c>
      <c r="I6" s="73" t="s">
        <v>56</v>
      </c>
      <c r="J6" s="73" t="s">
        <v>159</v>
      </c>
      <c r="K6" s="73" t="s">
        <v>28</v>
      </c>
      <c r="N6" s="10"/>
      <c r="AB6" s="2" t="s">
        <v>15</v>
      </c>
      <c r="AC6" s="2">
        <v>3</v>
      </c>
    </row>
    <row r="7" spans="1:29" s="2" customFormat="1" x14ac:dyDescent="0.3">
      <c r="A7" s="73" t="s">
        <v>221</v>
      </c>
      <c r="B7" s="74">
        <v>46085</v>
      </c>
      <c r="C7" s="75">
        <v>2</v>
      </c>
      <c r="D7" s="75">
        <v>0</v>
      </c>
      <c r="E7" s="73" t="s">
        <v>201</v>
      </c>
      <c r="F7" s="73" t="s">
        <v>200</v>
      </c>
      <c r="G7" s="73" t="s">
        <v>7</v>
      </c>
      <c r="H7" s="73" t="s">
        <v>312</v>
      </c>
      <c r="I7" s="73" t="s">
        <v>9</v>
      </c>
      <c r="J7" s="73" t="s">
        <v>105</v>
      </c>
      <c r="K7" s="73" t="s">
        <v>43</v>
      </c>
    </row>
    <row r="8" spans="1:29" s="2" customFormat="1" x14ac:dyDescent="0.3">
      <c r="A8" s="73" t="s">
        <v>222</v>
      </c>
      <c r="B8" s="74">
        <v>46079</v>
      </c>
      <c r="C8" s="75">
        <v>1</v>
      </c>
      <c r="D8" s="75">
        <v>0</v>
      </c>
      <c r="E8" s="73" t="s">
        <v>223</v>
      </c>
      <c r="F8" s="73" t="s">
        <v>200</v>
      </c>
      <c r="G8" s="73" t="s">
        <v>7</v>
      </c>
      <c r="H8" s="73" t="s">
        <v>305</v>
      </c>
      <c r="I8" s="73" t="s">
        <v>9</v>
      </c>
      <c r="J8" s="73" t="s">
        <v>180</v>
      </c>
      <c r="K8" s="73" t="s">
        <v>13</v>
      </c>
    </row>
    <row r="9" spans="1:29" s="2" customFormat="1" x14ac:dyDescent="0.3">
      <c r="A9" s="73" t="s">
        <v>226</v>
      </c>
      <c r="B9" s="74">
        <v>46099</v>
      </c>
      <c r="C9" s="75">
        <v>2</v>
      </c>
      <c r="D9" s="75">
        <v>1</v>
      </c>
      <c r="E9" s="73" t="s">
        <v>227</v>
      </c>
      <c r="F9" s="73" t="s">
        <v>200</v>
      </c>
      <c r="G9" s="73" t="s">
        <v>7</v>
      </c>
      <c r="H9" s="73" t="s">
        <v>18</v>
      </c>
      <c r="I9" s="73" t="s">
        <v>20</v>
      </c>
      <c r="J9" s="73" t="s">
        <v>180</v>
      </c>
      <c r="K9" s="73" t="s">
        <v>13</v>
      </c>
    </row>
    <row r="10" spans="1:29" s="2" customFormat="1" x14ac:dyDescent="0.3">
      <c r="A10" s="73" t="s">
        <v>228</v>
      </c>
      <c r="B10" s="74">
        <v>46085</v>
      </c>
      <c r="C10" s="75">
        <v>1</v>
      </c>
      <c r="D10" s="75">
        <v>0</v>
      </c>
      <c r="E10" s="73" t="s">
        <v>30</v>
      </c>
      <c r="F10" s="73" t="s">
        <v>200</v>
      </c>
      <c r="G10" s="73" t="s">
        <v>7</v>
      </c>
      <c r="H10" s="73" t="s">
        <v>313</v>
      </c>
      <c r="I10" s="73" t="s">
        <v>9</v>
      </c>
      <c r="J10" s="73" t="s">
        <v>12</v>
      </c>
      <c r="K10" s="73" t="s">
        <v>24</v>
      </c>
    </row>
    <row r="11" spans="1:29" s="2" customFormat="1" x14ac:dyDescent="0.3">
      <c r="A11" s="73" t="s">
        <v>229</v>
      </c>
      <c r="B11" s="74">
        <v>46065</v>
      </c>
      <c r="C11" s="75">
        <v>3</v>
      </c>
      <c r="D11" s="75">
        <v>2</v>
      </c>
      <c r="E11" s="73" t="s">
        <v>45</v>
      </c>
      <c r="F11" s="73" t="s">
        <v>200</v>
      </c>
      <c r="G11" s="73" t="s">
        <v>7</v>
      </c>
      <c r="H11" s="73" t="s">
        <v>272</v>
      </c>
      <c r="I11" s="73" t="s">
        <v>20</v>
      </c>
      <c r="J11" s="73" t="s">
        <v>121</v>
      </c>
      <c r="K11" s="73" t="s">
        <v>13</v>
      </c>
    </row>
    <row r="12" spans="1:29" s="2" customFormat="1" x14ac:dyDescent="0.3">
      <c r="A12" s="73" t="s">
        <v>230</v>
      </c>
      <c r="B12" s="74">
        <v>46094</v>
      </c>
      <c r="C12" s="75">
        <v>1</v>
      </c>
      <c r="D12" s="75">
        <v>0</v>
      </c>
      <c r="E12" s="73" t="s">
        <v>263</v>
      </c>
      <c r="F12" s="73" t="s">
        <v>98</v>
      </c>
      <c r="G12" s="73" t="s">
        <v>7</v>
      </c>
      <c r="H12" s="73" t="s">
        <v>274</v>
      </c>
      <c r="I12" s="73" t="s">
        <v>9</v>
      </c>
      <c r="J12" s="73" t="s">
        <v>12</v>
      </c>
      <c r="K12" s="73" t="s">
        <v>24</v>
      </c>
    </row>
    <row r="13" spans="1:29" s="2" customFormat="1" x14ac:dyDescent="0.3">
      <c r="A13" s="73" t="s">
        <v>234</v>
      </c>
      <c r="B13" s="74">
        <v>46056</v>
      </c>
      <c r="C13" s="75">
        <v>30</v>
      </c>
      <c r="D13" s="75">
        <v>13</v>
      </c>
      <c r="E13" s="73" t="s">
        <v>45</v>
      </c>
      <c r="F13" s="73" t="s">
        <v>200</v>
      </c>
      <c r="G13" s="73" t="s">
        <v>7</v>
      </c>
      <c r="H13" s="73" t="s">
        <v>259</v>
      </c>
      <c r="I13" s="73" t="s">
        <v>20</v>
      </c>
      <c r="J13" s="73" t="s">
        <v>49</v>
      </c>
      <c r="K13" s="73" t="s">
        <v>91</v>
      </c>
    </row>
    <row r="14" spans="1:29" s="2" customFormat="1" x14ac:dyDescent="0.3">
      <c r="A14" s="73" t="s">
        <v>243</v>
      </c>
      <c r="B14" s="74">
        <v>46085</v>
      </c>
      <c r="C14" s="75">
        <v>1</v>
      </c>
      <c r="D14" s="75">
        <v>0</v>
      </c>
      <c r="E14" s="73" t="s">
        <v>244</v>
      </c>
      <c r="F14" s="73" t="s">
        <v>98</v>
      </c>
      <c r="G14" s="73" t="s">
        <v>7</v>
      </c>
      <c r="H14" s="73" t="s">
        <v>33</v>
      </c>
      <c r="I14" s="73" t="s">
        <v>20</v>
      </c>
      <c r="J14" s="73" t="s">
        <v>103</v>
      </c>
      <c r="K14" s="73" t="s">
        <v>21</v>
      </c>
    </row>
    <row r="15" spans="1:29" s="2" customFormat="1" ht="15" customHeight="1" x14ac:dyDescent="0.3">
      <c r="A15" s="73" t="s">
        <v>246</v>
      </c>
      <c r="B15" s="74">
        <v>46091</v>
      </c>
      <c r="C15" s="75">
        <v>1</v>
      </c>
      <c r="D15" s="75">
        <v>0</v>
      </c>
      <c r="E15" s="73" t="s">
        <v>232</v>
      </c>
      <c r="F15" s="73" t="s">
        <v>200</v>
      </c>
      <c r="G15" s="73" t="s">
        <v>7</v>
      </c>
      <c r="H15" s="73" t="s">
        <v>64</v>
      </c>
      <c r="I15" s="73" t="s">
        <v>9</v>
      </c>
      <c r="J15" s="73" t="s">
        <v>65</v>
      </c>
      <c r="K15" s="73" t="s">
        <v>48</v>
      </c>
    </row>
    <row r="16" spans="1:29" s="2" customFormat="1" ht="13.95" customHeight="1" x14ac:dyDescent="0.3">
      <c r="A16" s="73" t="s">
        <v>247</v>
      </c>
      <c r="B16" s="74">
        <v>46094</v>
      </c>
      <c r="C16" s="75">
        <v>1</v>
      </c>
      <c r="D16" s="75">
        <v>0</v>
      </c>
      <c r="E16" s="73" t="s">
        <v>120</v>
      </c>
      <c r="F16" s="73" t="s">
        <v>200</v>
      </c>
      <c r="G16" s="73" t="s">
        <v>7</v>
      </c>
      <c r="H16" s="73" t="s">
        <v>18</v>
      </c>
      <c r="I16" s="73" t="s">
        <v>56</v>
      </c>
      <c r="J16" s="73" t="s">
        <v>248</v>
      </c>
      <c r="K16" s="73" t="s">
        <v>43</v>
      </c>
    </row>
    <row r="17" spans="1:11" s="2" customFormat="1" x14ac:dyDescent="0.3">
      <c r="A17" s="73" t="s">
        <v>249</v>
      </c>
      <c r="B17" s="74">
        <v>46076</v>
      </c>
      <c r="C17" s="75">
        <v>2</v>
      </c>
      <c r="D17" s="75">
        <v>0</v>
      </c>
      <c r="E17" s="73" t="s">
        <v>45</v>
      </c>
      <c r="F17" s="73" t="s">
        <v>200</v>
      </c>
      <c r="G17" s="73" t="s">
        <v>7</v>
      </c>
      <c r="H17" s="73" t="s">
        <v>27</v>
      </c>
      <c r="I17" s="73" t="s">
        <v>20</v>
      </c>
      <c r="J17" s="73" t="s">
        <v>121</v>
      </c>
      <c r="K17" s="73" t="s">
        <v>13</v>
      </c>
    </row>
    <row r="18" spans="1:11" s="2" customFormat="1" x14ac:dyDescent="0.3">
      <c r="A18" s="73" t="s">
        <v>253</v>
      </c>
      <c r="B18" s="74">
        <v>46069</v>
      </c>
      <c r="C18" s="75">
        <v>1</v>
      </c>
      <c r="D18" s="75">
        <v>0</v>
      </c>
      <c r="E18" s="73" t="s">
        <v>244</v>
      </c>
      <c r="F18" s="73" t="s">
        <v>98</v>
      </c>
      <c r="G18" s="73" t="s">
        <v>7</v>
      </c>
      <c r="H18" s="73" t="s">
        <v>33</v>
      </c>
      <c r="I18" s="73" t="s">
        <v>20</v>
      </c>
      <c r="J18" s="73" t="s">
        <v>103</v>
      </c>
      <c r="K18" s="73" t="s">
        <v>21</v>
      </c>
    </row>
    <row r="19" spans="1:11" s="2" customFormat="1" x14ac:dyDescent="0.3">
      <c r="A19" s="73" t="s">
        <v>267</v>
      </c>
      <c r="B19" s="74">
        <v>46077</v>
      </c>
      <c r="C19" s="75">
        <v>1</v>
      </c>
      <c r="D19" s="75">
        <v>0</v>
      </c>
      <c r="E19" s="73" t="s">
        <v>268</v>
      </c>
      <c r="F19" s="73" t="s">
        <v>98</v>
      </c>
      <c r="G19" s="73" t="s">
        <v>7</v>
      </c>
      <c r="H19" s="73" t="s">
        <v>27</v>
      </c>
      <c r="I19" s="73" t="s">
        <v>9</v>
      </c>
      <c r="J19" s="73" t="s">
        <v>269</v>
      </c>
      <c r="K19" s="73" t="s">
        <v>22</v>
      </c>
    </row>
    <row r="20" spans="1:11" s="2" customFormat="1" ht="15" customHeight="1" x14ac:dyDescent="0.3">
      <c r="A20" s="73" t="s">
        <v>270</v>
      </c>
      <c r="B20" s="74">
        <v>46079</v>
      </c>
      <c r="C20" s="75">
        <v>1</v>
      </c>
      <c r="D20" s="75">
        <v>0</v>
      </c>
      <c r="E20" s="73" t="s">
        <v>25</v>
      </c>
      <c r="F20" s="73" t="s">
        <v>200</v>
      </c>
      <c r="G20" s="73" t="s">
        <v>7</v>
      </c>
      <c r="H20" s="73" t="s">
        <v>64</v>
      </c>
      <c r="I20" s="73" t="s">
        <v>9</v>
      </c>
      <c r="J20" s="73" t="s">
        <v>271</v>
      </c>
      <c r="K20" s="73" t="s">
        <v>19</v>
      </c>
    </row>
    <row r="21" spans="1:11" s="2" customFormat="1" x14ac:dyDescent="0.3">
      <c r="A21" s="73" t="s">
        <v>284</v>
      </c>
      <c r="B21" s="74">
        <v>46085</v>
      </c>
      <c r="C21" s="75">
        <v>1</v>
      </c>
      <c r="D21" s="75">
        <v>0</v>
      </c>
      <c r="E21" s="73" t="s">
        <v>285</v>
      </c>
      <c r="F21" s="73" t="s">
        <v>98</v>
      </c>
      <c r="G21" s="73" t="s">
        <v>7</v>
      </c>
      <c r="H21" s="73" t="s">
        <v>315</v>
      </c>
      <c r="I21" s="73" t="s">
        <v>9</v>
      </c>
      <c r="J21" s="73" t="s">
        <v>286</v>
      </c>
      <c r="K21" s="73" t="s">
        <v>287</v>
      </c>
    </row>
    <row r="22" spans="1:11" s="2" customFormat="1" x14ac:dyDescent="0.3">
      <c r="A22" s="73" t="s">
        <v>288</v>
      </c>
      <c r="B22" s="74">
        <v>46092</v>
      </c>
      <c r="C22" s="75">
        <v>1</v>
      </c>
      <c r="D22" s="75">
        <v>0</v>
      </c>
      <c r="E22" s="73" t="s">
        <v>40</v>
      </c>
      <c r="F22" s="73" t="s">
        <v>98</v>
      </c>
      <c r="G22" s="73" t="s">
        <v>7</v>
      </c>
      <c r="H22" s="73" t="s">
        <v>33</v>
      </c>
      <c r="I22" s="73" t="s">
        <v>20</v>
      </c>
      <c r="J22" s="73" t="s">
        <v>165</v>
      </c>
      <c r="K22" s="73" t="s">
        <v>13</v>
      </c>
    </row>
    <row r="23" spans="1:11" s="2" customFormat="1" x14ac:dyDescent="0.3">
      <c r="A23" s="73" t="s">
        <v>291</v>
      </c>
      <c r="B23" s="74">
        <v>46078</v>
      </c>
      <c r="C23" s="75">
        <v>1</v>
      </c>
      <c r="D23" s="75">
        <v>0</v>
      </c>
      <c r="E23" s="73" t="s">
        <v>166</v>
      </c>
      <c r="F23" s="73" t="s">
        <v>98</v>
      </c>
      <c r="G23" s="73" t="s">
        <v>7</v>
      </c>
      <c r="H23" s="73" t="s">
        <v>44</v>
      </c>
      <c r="I23" s="73" t="s">
        <v>9</v>
      </c>
      <c r="J23" s="73" t="s">
        <v>166</v>
      </c>
      <c r="K23" s="73" t="s">
        <v>13</v>
      </c>
    </row>
    <row r="24" spans="1:11" s="2" customFormat="1" x14ac:dyDescent="0.3">
      <c r="A24" s="73" t="s">
        <v>299</v>
      </c>
      <c r="B24" s="74">
        <v>46085</v>
      </c>
      <c r="C24" s="75">
        <v>1</v>
      </c>
      <c r="D24" s="75">
        <v>0</v>
      </c>
      <c r="E24" s="73" t="s">
        <v>46</v>
      </c>
      <c r="F24" s="73" t="s">
        <v>200</v>
      </c>
      <c r="G24" s="73" t="s">
        <v>7</v>
      </c>
      <c r="H24" s="73" t="s">
        <v>27</v>
      </c>
      <c r="I24" s="73" t="s">
        <v>9</v>
      </c>
      <c r="J24" s="73" t="s">
        <v>49</v>
      </c>
      <c r="K24" s="73" t="s">
        <v>48</v>
      </c>
    </row>
    <row r="25" spans="1:11" s="2" customFormat="1" x14ac:dyDescent="0.3">
      <c r="A25" s="73" t="s">
        <v>300</v>
      </c>
      <c r="B25" s="74">
        <v>46086</v>
      </c>
      <c r="C25" s="75">
        <v>1</v>
      </c>
      <c r="D25" s="75">
        <v>0</v>
      </c>
      <c r="E25" s="73" t="s">
        <v>301</v>
      </c>
      <c r="F25" s="73" t="s">
        <v>200</v>
      </c>
      <c r="G25" s="73" t="s">
        <v>7</v>
      </c>
      <c r="H25" s="73" t="s">
        <v>23</v>
      </c>
      <c r="I25" s="73" t="s">
        <v>9</v>
      </c>
      <c r="J25" s="73" t="s">
        <v>302</v>
      </c>
      <c r="K25" s="73" t="s">
        <v>91</v>
      </c>
    </row>
    <row r="26" spans="1:11" s="2" customFormat="1" ht="13.95" customHeight="1" x14ac:dyDescent="0.3">
      <c r="A26" s="73" t="s">
        <v>303</v>
      </c>
      <c r="B26" s="74">
        <v>46098</v>
      </c>
      <c r="C26" s="75">
        <v>1</v>
      </c>
      <c r="D26" s="75">
        <v>0</v>
      </c>
      <c r="E26" s="73" t="s">
        <v>240</v>
      </c>
      <c r="F26" s="73" t="s">
        <v>98</v>
      </c>
      <c r="G26" s="73" t="s">
        <v>7</v>
      </c>
      <c r="H26" s="73" t="s">
        <v>18</v>
      </c>
      <c r="I26" s="73" t="s">
        <v>56</v>
      </c>
      <c r="J26" s="73" t="s">
        <v>186</v>
      </c>
      <c r="K26" s="73" t="s">
        <v>194</v>
      </c>
    </row>
    <row r="27" spans="1:11" s="2" customFormat="1" ht="14.25" customHeight="1" x14ac:dyDescent="0.3">
      <c r="A27" s="73" t="s">
        <v>304</v>
      </c>
      <c r="B27" s="74">
        <v>46091</v>
      </c>
      <c r="C27" s="75">
        <v>1</v>
      </c>
      <c r="D27" s="75">
        <v>0</v>
      </c>
      <c r="E27" s="73" t="s">
        <v>136</v>
      </c>
      <c r="F27" s="73" t="s">
        <v>200</v>
      </c>
      <c r="G27" s="73" t="s">
        <v>7</v>
      </c>
      <c r="H27" s="73" t="s">
        <v>18</v>
      </c>
      <c r="I27" s="73" t="s">
        <v>56</v>
      </c>
      <c r="J27" s="73" t="s">
        <v>137</v>
      </c>
      <c r="K27" s="73" t="s">
        <v>13</v>
      </c>
    </row>
    <row r="28" spans="1:11" s="2" customFormat="1" ht="14.25" customHeight="1" x14ac:dyDescent="0.3">
      <c r="A28" s="73" t="s">
        <v>307</v>
      </c>
      <c r="B28" s="74">
        <v>46085</v>
      </c>
      <c r="C28" s="75">
        <v>1</v>
      </c>
      <c r="D28" s="75">
        <v>0</v>
      </c>
      <c r="E28" s="73" t="s">
        <v>29</v>
      </c>
      <c r="F28" s="73" t="s">
        <v>200</v>
      </c>
      <c r="G28" s="73" t="s">
        <v>7</v>
      </c>
      <c r="H28" s="73" t="s">
        <v>33</v>
      </c>
      <c r="I28" s="73" t="s">
        <v>20</v>
      </c>
      <c r="J28" s="73" t="s">
        <v>33</v>
      </c>
      <c r="K28" s="73" t="s">
        <v>308</v>
      </c>
    </row>
    <row r="29" spans="1:11" s="2" customFormat="1" ht="14.25" customHeight="1" x14ac:dyDescent="0.3">
      <c r="A29" s="73" t="s">
        <v>319</v>
      </c>
      <c r="B29" s="74">
        <v>46090</v>
      </c>
      <c r="C29" s="75">
        <v>1</v>
      </c>
      <c r="D29" s="75">
        <v>0</v>
      </c>
      <c r="E29" s="73" t="s">
        <v>320</v>
      </c>
      <c r="F29" s="73" t="s">
        <v>200</v>
      </c>
      <c r="G29" s="73" t="s">
        <v>7</v>
      </c>
      <c r="H29" s="73" t="s">
        <v>333</v>
      </c>
      <c r="I29" s="73" t="s">
        <v>9</v>
      </c>
      <c r="J29" s="73" t="s">
        <v>321</v>
      </c>
      <c r="K29" s="73" t="s">
        <v>13</v>
      </c>
    </row>
    <row r="30" spans="1:11" s="2" customFormat="1" ht="14.25" customHeight="1" x14ac:dyDescent="0.3">
      <c r="A30" s="73" t="s">
        <v>322</v>
      </c>
      <c r="B30" s="74">
        <v>46090</v>
      </c>
      <c r="C30" s="75">
        <v>2</v>
      </c>
      <c r="D30" s="75">
        <v>0</v>
      </c>
      <c r="E30" s="73" t="s">
        <v>334</v>
      </c>
      <c r="F30" s="73" t="s">
        <v>200</v>
      </c>
      <c r="G30" s="73" t="s">
        <v>7</v>
      </c>
      <c r="H30" s="73" t="s">
        <v>333</v>
      </c>
      <c r="I30" s="73" t="s">
        <v>9</v>
      </c>
      <c r="J30" s="73" t="s">
        <v>321</v>
      </c>
      <c r="K30" s="73" t="s">
        <v>13</v>
      </c>
    </row>
    <row r="31" spans="1:11" s="2" customFormat="1" ht="14.25" customHeight="1" x14ac:dyDescent="0.3">
      <c r="A31" s="73" t="s">
        <v>325</v>
      </c>
      <c r="B31" s="74">
        <v>46092</v>
      </c>
      <c r="C31" s="75">
        <v>1</v>
      </c>
      <c r="D31" s="75">
        <v>0</v>
      </c>
      <c r="E31" s="73" t="s">
        <v>326</v>
      </c>
      <c r="F31" s="73" t="s">
        <v>98</v>
      </c>
      <c r="G31" s="73" t="s">
        <v>7</v>
      </c>
      <c r="H31" s="73" t="s">
        <v>23</v>
      </c>
      <c r="I31" s="73" t="s">
        <v>9</v>
      </c>
      <c r="J31" s="73" t="s">
        <v>327</v>
      </c>
      <c r="K31" s="73" t="s">
        <v>328</v>
      </c>
    </row>
    <row r="32" spans="1:11" s="2" customFormat="1" ht="14.25" customHeight="1" x14ac:dyDescent="0.3">
      <c r="A32" s="73" t="s">
        <v>329</v>
      </c>
      <c r="B32" s="74">
        <v>46098</v>
      </c>
      <c r="C32" s="75">
        <v>1</v>
      </c>
      <c r="D32" s="75">
        <v>0</v>
      </c>
      <c r="E32" s="73" t="s">
        <v>107</v>
      </c>
      <c r="F32" s="73" t="s">
        <v>200</v>
      </c>
      <c r="G32" s="73" t="s">
        <v>7</v>
      </c>
      <c r="H32" s="73" t="s">
        <v>64</v>
      </c>
      <c r="I32" s="73" t="s">
        <v>9</v>
      </c>
      <c r="J32" s="73" t="s">
        <v>50</v>
      </c>
      <c r="K32" s="73" t="s">
        <v>43</v>
      </c>
    </row>
    <row r="33" spans="1:19" s="2" customFormat="1" ht="14.25" customHeight="1" x14ac:dyDescent="0.3">
      <c r="A33" s="73" t="s">
        <v>330</v>
      </c>
      <c r="B33" s="74">
        <v>46092</v>
      </c>
      <c r="C33" s="75">
        <v>1</v>
      </c>
      <c r="D33" s="75">
        <v>0</v>
      </c>
      <c r="E33" s="73" t="s">
        <v>120</v>
      </c>
      <c r="F33" s="73" t="s">
        <v>200</v>
      </c>
      <c r="G33" s="73" t="s">
        <v>7</v>
      </c>
      <c r="H33" s="73" t="s">
        <v>148</v>
      </c>
      <c r="I33" s="73" t="s">
        <v>9</v>
      </c>
      <c r="J33" s="73" t="s">
        <v>121</v>
      </c>
      <c r="K33" s="73" t="s">
        <v>13</v>
      </c>
    </row>
    <row r="34" spans="1:19" s="2" customFormat="1" ht="14.25" customHeight="1" x14ac:dyDescent="0.3">
      <c r="A34" s="73" t="s">
        <v>331</v>
      </c>
      <c r="B34" s="74">
        <v>46100</v>
      </c>
      <c r="C34" s="75">
        <v>1</v>
      </c>
      <c r="D34" s="75">
        <v>0</v>
      </c>
      <c r="E34" s="73" t="s">
        <v>332</v>
      </c>
      <c r="F34" s="73" t="s">
        <v>200</v>
      </c>
      <c r="G34" s="73" t="s">
        <v>7</v>
      </c>
      <c r="H34" s="73" t="s">
        <v>33</v>
      </c>
      <c r="I34" s="73" t="s">
        <v>20</v>
      </c>
      <c r="J34" s="73" t="s">
        <v>137</v>
      </c>
      <c r="K34" s="73" t="s">
        <v>13</v>
      </c>
    </row>
    <row r="35" spans="1:19" s="2" customFormat="1" ht="14.25" customHeight="1" x14ac:dyDescent="0.3">
      <c r="A35" s="73" t="s">
        <v>335</v>
      </c>
      <c r="B35" s="74">
        <v>46093</v>
      </c>
      <c r="C35" s="75">
        <v>1</v>
      </c>
      <c r="D35" s="75">
        <v>0</v>
      </c>
      <c r="E35" s="73" t="s">
        <v>336</v>
      </c>
      <c r="F35" s="73" t="s">
        <v>98</v>
      </c>
      <c r="G35" s="73" t="s">
        <v>7</v>
      </c>
      <c r="H35" s="73" t="s">
        <v>17</v>
      </c>
      <c r="I35" s="73" t="s">
        <v>9</v>
      </c>
      <c r="J35" s="73" t="s">
        <v>175</v>
      </c>
      <c r="K35" s="73" t="s">
        <v>196</v>
      </c>
    </row>
    <row r="36" spans="1:19" s="2" customFormat="1" ht="14.25" customHeight="1" x14ac:dyDescent="0.3">
      <c r="A36" s="73" t="s">
        <v>338</v>
      </c>
      <c r="B36" s="74">
        <v>46100</v>
      </c>
      <c r="C36" s="75">
        <v>1</v>
      </c>
      <c r="D36" s="75">
        <v>0</v>
      </c>
      <c r="E36" s="73" t="s">
        <v>320</v>
      </c>
      <c r="F36" s="73" t="s">
        <v>200</v>
      </c>
      <c r="G36" s="73" t="s">
        <v>7</v>
      </c>
      <c r="H36" s="73" t="s">
        <v>333</v>
      </c>
      <c r="I36" s="73" t="s">
        <v>9</v>
      </c>
      <c r="J36" s="73" t="s">
        <v>321</v>
      </c>
      <c r="K36" s="73" t="s">
        <v>24</v>
      </c>
    </row>
    <row r="37" spans="1:19" s="2" customFormat="1" ht="14.25" customHeight="1" x14ac:dyDescent="0.3">
      <c r="A37" s="73" t="s">
        <v>342</v>
      </c>
      <c r="B37" s="74">
        <v>46100</v>
      </c>
      <c r="C37" s="75">
        <v>1</v>
      </c>
      <c r="D37" s="75">
        <v>0</v>
      </c>
      <c r="E37" s="73" t="s">
        <v>343</v>
      </c>
      <c r="F37" s="73" t="s">
        <v>98</v>
      </c>
      <c r="G37" s="73" t="s">
        <v>7</v>
      </c>
      <c r="H37" s="73" t="s">
        <v>148</v>
      </c>
      <c r="I37" s="73" t="s">
        <v>20</v>
      </c>
      <c r="J37" s="73" t="s">
        <v>156</v>
      </c>
      <c r="K37" s="73" t="s">
        <v>13</v>
      </c>
    </row>
    <row r="38" spans="1:19" s="2" customFormat="1" ht="14.25" customHeight="1" x14ac:dyDescent="0.3">
      <c r="A38" s="73" t="s">
        <v>344</v>
      </c>
      <c r="B38" s="74">
        <v>46100</v>
      </c>
      <c r="C38" s="75">
        <v>1</v>
      </c>
      <c r="D38" s="75">
        <v>0</v>
      </c>
      <c r="E38" s="73" t="s">
        <v>72</v>
      </c>
      <c r="F38" s="73" t="s">
        <v>98</v>
      </c>
      <c r="G38" s="73" t="s">
        <v>7</v>
      </c>
      <c r="H38" s="73" t="s">
        <v>33</v>
      </c>
      <c r="I38" s="73" t="s">
        <v>20</v>
      </c>
      <c r="J38" s="73" t="s">
        <v>345</v>
      </c>
      <c r="K38" s="73" t="s">
        <v>91</v>
      </c>
    </row>
    <row r="39" spans="1:19" s="2" customFormat="1" ht="14.25" customHeight="1" x14ac:dyDescent="0.3">
      <c r="A39" s="73" t="s">
        <v>347</v>
      </c>
      <c r="B39" s="74">
        <v>46101</v>
      </c>
      <c r="C39" s="75">
        <v>1</v>
      </c>
      <c r="D39" s="75">
        <v>0</v>
      </c>
      <c r="E39" s="73" t="s">
        <v>84</v>
      </c>
      <c r="F39" s="73" t="s">
        <v>98</v>
      </c>
      <c r="G39" s="73" t="s">
        <v>7</v>
      </c>
      <c r="H39" s="73" t="s">
        <v>18</v>
      </c>
      <c r="I39" s="73" t="s">
        <v>56</v>
      </c>
      <c r="J39" s="73" t="s">
        <v>349</v>
      </c>
      <c r="K39" s="73" t="s">
        <v>13</v>
      </c>
    </row>
    <row r="40" spans="1:19" s="2" customFormat="1" ht="14.25" customHeight="1" x14ac:dyDescent="0.3">
      <c r="A40" s="73" t="s">
        <v>355</v>
      </c>
      <c r="B40" s="74">
        <v>46101</v>
      </c>
      <c r="C40" s="75">
        <v>1</v>
      </c>
      <c r="D40" s="75">
        <v>0</v>
      </c>
      <c r="E40" s="73" t="s">
        <v>356</v>
      </c>
      <c r="F40" s="73" t="s">
        <v>98</v>
      </c>
      <c r="G40" s="73" t="s">
        <v>7</v>
      </c>
      <c r="H40" s="73" t="s">
        <v>17</v>
      </c>
      <c r="I40" s="73" t="s">
        <v>20</v>
      </c>
      <c r="J40" s="73" t="s">
        <v>70</v>
      </c>
      <c r="K40" s="73" t="s">
        <v>33</v>
      </c>
    </row>
    <row r="41" spans="1:19" s="2" customFormat="1" ht="14.25" customHeight="1" x14ac:dyDescent="0.3">
      <c r="A41" s="73" t="s">
        <v>357</v>
      </c>
      <c r="B41" s="74">
        <v>46101</v>
      </c>
      <c r="C41" s="75">
        <v>1</v>
      </c>
      <c r="D41" s="75">
        <v>0</v>
      </c>
      <c r="E41" s="73" t="s">
        <v>40</v>
      </c>
      <c r="F41" s="73" t="s">
        <v>98</v>
      </c>
      <c r="G41" s="73" t="s">
        <v>7</v>
      </c>
      <c r="H41" s="73" t="s">
        <v>17</v>
      </c>
      <c r="I41" s="73" t="s">
        <v>20</v>
      </c>
      <c r="J41" s="73" t="s">
        <v>70</v>
      </c>
      <c r="K41" s="73" t="s">
        <v>48</v>
      </c>
    </row>
    <row r="42" spans="1:19" s="2" customFormat="1" ht="14.25" customHeight="1" x14ac:dyDescent="0.3">
      <c r="A42" s="77"/>
      <c r="B42" s="78"/>
      <c r="C42" s="79"/>
      <c r="D42" s="79"/>
      <c r="E42" s="77"/>
      <c r="F42" s="77"/>
      <c r="G42" s="77"/>
      <c r="H42" s="77"/>
      <c r="I42" s="77"/>
      <c r="J42" s="77"/>
      <c r="K42" s="77"/>
    </row>
    <row r="43" spans="1:19" ht="15" thickBot="1" x14ac:dyDescent="0.35">
      <c r="A43" s="40"/>
      <c r="B43" s="41"/>
      <c r="C43" s="42"/>
      <c r="D43" s="42"/>
      <c r="E43" s="40"/>
      <c r="F43" s="40"/>
      <c r="G43" s="40"/>
      <c r="H43" s="40"/>
      <c r="I43" s="40"/>
      <c r="J43" s="40"/>
      <c r="K43" s="40"/>
      <c r="P43" s="3"/>
      <c r="Q43" s="3"/>
      <c r="R43" s="4"/>
      <c r="S43" s="4"/>
    </row>
    <row r="44" spans="1:19" ht="15" thickBot="1" x14ac:dyDescent="0.35">
      <c r="B44" s="34" t="s">
        <v>31</v>
      </c>
      <c r="C44" s="12">
        <f>SUM(C4:C41)-SUM(D4:D41)</f>
        <v>57</v>
      </c>
      <c r="D44" s="29"/>
      <c r="F44" s="35" t="s">
        <v>57</v>
      </c>
      <c r="G44" s="36">
        <f>COUNTIF(I4:I35,"Pending")</f>
        <v>4</v>
      </c>
      <c r="I44" s="38" t="s">
        <v>58</v>
      </c>
      <c r="J44" s="39">
        <f>C44-G44</f>
        <v>53</v>
      </c>
    </row>
    <row r="45" spans="1:19" x14ac:dyDescent="0.3">
      <c r="G45" s="3"/>
      <c r="H45" s="4"/>
      <c r="I45" s="3"/>
    </row>
    <row r="46" spans="1:19" hidden="1" x14ac:dyDescent="0.3">
      <c r="D46" s="13"/>
    </row>
    <row r="47" spans="1:19" s="6" customFormat="1" ht="28.8" x14ac:dyDescent="0.3">
      <c r="A47" s="28" t="s">
        <v>0</v>
      </c>
      <c r="B47" s="28" t="s">
        <v>1</v>
      </c>
      <c r="C47" s="28" t="s">
        <v>2</v>
      </c>
      <c r="D47" s="28" t="s">
        <v>3</v>
      </c>
      <c r="E47" s="28" t="s">
        <v>4</v>
      </c>
      <c r="F47" s="28" t="s">
        <v>51</v>
      </c>
      <c r="G47" s="28" t="s">
        <v>52</v>
      </c>
      <c r="H47" s="28" t="s">
        <v>5</v>
      </c>
      <c r="I47" s="28" t="s">
        <v>53</v>
      </c>
      <c r="J47" s="28" t="s">
        <v>27</v>
      </c>
      <c r="K47" s="28" t="s">
        <v>6</v>
      </c>
    </row>
    <row r="48" spans="1:19" s="18" customFormat="1" ht="15" customHeight="1" x14ac:dyDescent="0.3">
      <c r="A48" s="73" t="s">
        <v>99</v>
      </c>
      <c r="B48" s="74">
        <v>46056</v>
      </c>
      <c r="C48" s="75">
        <v>1</v>
      </c>
      <c r="D48" s="75">
        <v>0</v>
      </c>
      <c r="E48" s="73" t="s">
        <v>166</v>
      </c>
      <c r="F48" s="73" t="s">
        <v>98</v>
      </c>
      <c r="G48" s="73" t="s">
        <v>32</v>
      </c>
      <c r="H48" s="73" t="s">
        <v>44</v>
      </c>
      <c r="I48" s="73" t="s">
        <v>20</v>
      </c>
      <c r="J48" s="73" t="s">
        <v>166</v>
      </c>
      <c r="K48" s="73" t="s">
        <v>13</v>
      </c>
    </row>
    <row r="49" spans="1:29" s="18" customFormat="1" ht="15" customHeight="1" x14ac:dyDescent="0.3">
      <c r="A49" s="73" t="s">
        <v>172</v>
      </c>
      <c r="B49" s="74">
        <v>46056</v>
      </c>
      <c r="C49" s="75">
        <v>1</v>
      </c>
      <c r="D49" s="75">
        <v>0</v>
      </c>
      <c r="E49" s="73" t="s">
        <v>173</v>
      </c>
      <c r="F49" s="73" t="s">
        <v>98</v>
      </c>
      <c r="G49" s="73" t="s">
        <v>32</v>
      </c>
      <c r="H49" s="73" t="s">
        <v>33</v>
      </c>
      <c r="I49" s="73" t="s">
        <v>20</v>
      </c>
      <c r="J49" s="73" t="s">
        <v>175</v>
      </c>
      <c r="K49" s="73" t="s">
        <v>176</v>
      </c>
    </row>
    <row r="50" spans="1:29" x14ac:dyDescent="0.3">
      <c r="A50" s="73" t="s">
        <v>261</v>
      </c>
      <c r="B50" s="74">
        <v>46091</v>
      </c>
      <c r="C50" s="75">
        <v>1</v>
      </c>
      <c r="D50" s="75">
        <v>0</v>
      </c>
      <c r="E50" s="73" t="s">
        <v>262</v>
      </c>
      <c r="F50" s="73" t="s">
        <v>98</v>
      </c>
      <c r="G50" s="73" t="s">
        <v>32</v>
      </c>
      <c r="H50" s="73" t="s">
        <v>17</v>
      </c>
      <c r="I50" s="73" t="s">
        <v>20</v>
      </c>
      <c r="J50" s="73" t="s">
        <v>191</v>
      </c>
      <c r="K50" s="73" t="s">
        <v>13</v>
      </c>
    </row>
    <row r="51" spans="1:29" ht="15" thickBot="1" x14ac:dyDescent="0.35">
      <c r="A51" s="51"/>
      <c r="B51" s="52"/>
      <c r="C51" s="53"/>
      <c r="D51" s="53"/>
      <c r="E51" s="51"/>
      <c r="F51" s="51"/>
      <c r="G51" s="51"/>
      <c r="H51" s="51"/>
      <c r="I51" s="51"/>
      <c r="J51" s="51"/>
      <c r="K51" s="2"/>
    </row>
    <row r="52" spans="1:29" ht="15" thickBot="1" x14ac:dyDescent="0.35">
      <c r="B52" s="60" t="s">
        <v>34</v>
      </c>
      <c r="C52" s="61">
        <v>3</v>
      </c>
      <c r="E52" s="2"/>
      <c r="F52" s="2"/>
      <c r="H52" s="2"/>
      <c r="J52" s="2"/>
      <c r="K52" s="2"/>
    </row>
    <row r="53" spans="1:29" x14ac:dyDescent="0.3">
      <c r="E53" s="2"/>
      <c r="F53" s="2"/>
      <c r="H53" s="2"/>
      <c r="J53" s="2"/>
      <c r="K53" s="2"/>
    </row>
    <row r="54" spans="1:29" hidden="1" x14ac:dyDescent="0.3">
      <c r="E54" s="2"/>
      <c r="F54" s="2"/>
      <c r="H54" s="2"/>
      <c r="J54" s="2"/>
      <c r="K54" s="2"/>
    </row>
    <row r="55" spans="1:29" s="2" customFormat="1" ht="34.35" customHeight="1" x14ac:dyDescent="0.3">
      <c r="A55" s="62" t="s">
        <v>0</v>
      </c>
      <c r="B55" s="62" t="s">
        <v>1</v>
      </c>
      <c r="C55" s="62" t="s">
        <v>2</v>
      </c>
      <c r="D55" s="62" t="s">
        <v>3</v>
      </c>
      <c r="E55" s="62" t="s">
        <v>4</v>
      </c>
      <c r="F55" s="62" t="s">
        <v>51</v>
      </c>
      <c r="G55" s="62" t="s">
        <v>52</v>
      </c>
      <c r="H55" s="62" t="s">
        <v>5</v>
      </c>
      <c r="I55" s="62" t="s">
        <v>53</v>
      </c>
      <c r="J55" s="62" t="s">
        <v>27</v>
      </c>
      <c r="K55" s="62" t="s">
        <v>6</v>
      </c>
    </row>
    <row r="56" spans="1:29" s="2" customFormat="1" x14ac:dyDescent="0.3">
      <c r="A56" s="73" t="s">
        <v>309</v>
      </c>
      <c r="B56" s="74">
        <v>46080</v>
      </c>
      <c r="C56" s="75">
        <v>1</v>
      </c>
      <c r="D56" s="75">
        <v>0</v>
      </c>
      <c r="E56" s="73" t="s">
        <v>263</v>
      </c>
      <c r="F56" s="73" t="s">
        <v>200</v>
      </c>
      <c r="G56" s="73" t="s">
        <v>55</v>
      </c>
      <c r="H56" s="73" t="s">
        <v>8</v>
      </c>
      <c r="I56" s="73" t="s">
        <v>20</v>
      </c>
      <c r="J56" s="73" t="s">
        <v>310</v>
      </c>
      <c r="K56" s="73" t="s">
        <v>311</v>
      </c>
      <c r="L56" s="4"/>
      <c r="M56" s="4"/>
      <c r="N56" s="4"/>
      <c r="O56" s="4"/>
      <c r="P56" s="4"/>
      <c r="Q56" s="4"/>
      <c r="R56" s="3"/>
      <c r="S56" s="3"/>
      <c r="T56" s="4"/>
      <c r="U56" s="4"/>
      <c r="V56" s="4"/>
      <c r="W56" s="4"/>
      <c r="X56" s="4"/>
      <c r="Y56" s="4"/>
      <c r="Z56" s="4"/>
      <c r="AA56" s="4"/>
      <c r="AB56" s="4"/>
      <c r="AC56" s="4"/>
    </row>
    <row r="57" spans="1:29" s="2" customFormat="1" x14ac:dyDescent="0.3">
      <c r="A57" s="73" t="s">
        <v>337</v>
      </c>
      <c r="B57" s="74">
        <v>46092</v>
      </c>
      <c r="C57" s="75">
        <v>1</v>
      </c>
      <c r="D57" s="75">
        <v>0</v>
      </c>
      <c r="E57" s="73" t="s">
        <v>90</v>
      </c>
      <c r="F57" s="73" t="s">
        <v>98</v>
      </c>
      <c r="G57" s="73" t="s">
        <v>55</v>
      </c>
      <c r="H57" s="73" t="s">
        <v>33</v>
      </c>
      <c r="I57" s="73" t="s">
        <v>20</v>
      </c>
      <c r="J57" s="73" t="s">
        <v>26</v>
      </c>
      <c r="K57" s="73" t="s">
        <v>91</v>
      </c>
      <c r="L57" s="4"/>
      <c r="M57" s="4"/>
      <c r="N57" s="4"/>
      <c r="O57" s="4"/>
      <c r="P57" s="4"/>
      <c r="Q57" s="4"/>
      <c r="R57" s="3"/>
      <c r="S57" s="3"/>
      <c r="T57" s="4"/>
      <c r="U57" s="4"/>
      <c r="V57" s="4"/>
      <c r="W57" s="4"/>
      <c r="X57" s="4"/>
      <c r="Y57" s="4"/>
      <c r="Z57" s="4"/>
      <c r="AA57" s="4"/>
      <c r="AB57" s="4"/>
      <c r="AC57" s="4"/>
    </row>
    <row r="58" spans="1:29" s="2" customFormat="1" x14ac:dyDescent="0.3">
      <c r="A58" s="73" t="s">
        <v>339</v>
      </c>
      <c r="B58" s="74">
        <v>46092</v>
      </c>
      <c r="C58" s="75">
        <v>1</v>
      </c>
      <c r="D58" s="75">
        <v>0</v>
      </c>
      <c r="E58" s="73" t="s">
        <v>214</v>
      </c>
      <c r="F58" s="73" t="s">
        <v>98</v>
      </c>
      <c r="G58" s="73" t="s">
        <v>55</v>
      </c>
      <c r="H58" s="73" t="s">
        <v>33</v>
      </c>
      <c r="I58" s="73" t="s">
        <v>20</v>
      </c>
      <c r="J58" s="73" t="s">
        <v>215</v>
      </c>
      <c r="K58" s="73" t="s">
        <v>194</v>
      </c>
      <c r="L58" s="4"/>
      <c r="M58" s="4"/>
      <c r="N58" s="4"/>
      <c r="O58" s="4"/>
      <c r="P58" s="4"/>
      <c r="Q58" s="4"/>
      <c r="R58" s="3"/>
      <c r="S58" s="3"/>
      <c r="T58" s="4"/>
      <c r="U58" s="4"/>
      <c r="V58" s="4"/>
      <c r="W58" s="4"/>
      <c r="X58" s="4"/>
      <c r="Y58" s="4"/>
      <c r="Z58" s="4"/>
      <c r="AA58" s="4"/>
      <c r="AB58" s="4"/>
      <c r="AC58" s="4"/>
    </row>
    <row r="59" spans="1:29" s="2" customFormat="1" x14ac:dyDescent="0.3">
      <c r="A59" s="73" t="s">
        <v>358</v>
      </c>
      <c r="B59" s="74">
        <v>46100</v>
      </c>
      <c r="C59" s="75">
        <v>1</v>
      </c>
      <c r="D59" s="75">
        <v>0</v>
      </c>
      <c r="E59" s="73" t="s">
        <v>244</v>
      </c>
      <c r="F59" s="73" t="s">
        <v>98</v>
      </c>
      <c r="G59" s="73" t="s">
        <v>55</v>
      </c>
      <c r="H59" s="73" t="s">
        <v>33</v>
      </c>
      <c r="I59" s="73" t="s">
        <v>20</v>
      </c>
      <c r="J59" s="73" t="s">
        <v>359</v>
      </c>
      <c r="K59" s="73" t="s">
        <v>22</v>
      </c>
      <c r="L59" s="4"/>
      <c r="M59" s="4"/>
      <c r="N59" s="4"/>
      <c r="O59" s="4"/>
      <c r="P59" s="4"/>
      <c r="Q59" s="4"/>
      <c r="R59" s="3"/>
      <c r="S59" s="3"/>
      <c r="T59" s="4"/>
      <c r="U59" s="4"/>
      <c r="V59" s="4"/>
      <c r="W59" s="4"/>
      <c r="X59" s="4"/>
      <c r="Y59" s="4"/>
      <c r="Z59" s="4"/>
      <c r="AA59" s="4"/>
      <c r="AB59" s="4"/>
      <c r="AC59" s="4"/>
    </row>
    <row r="60" spans="1:29" s="2" customFormat="1" x14ac:dyDescent="0.3">
      <c r="A60" s="73" t="s">
        <v>346</v>
      </c>
      <c r="B60" s="74">
        <v>46097</v>
      </c>
      <c r="C60" s="75">
        <v>1</v>
      </c>
      <c r="D60" s="75">
        <v>0</v>
      </c>
      <c r="E60" s="73" t="s">
        <v>72</v>
      </c>
      <c r="F60" s="73" t="s">
        <v>200</v>
      </c>
      <c r="G60" s="73" t="s">
        <v>55</v>
      </c>
      <c r="H60" s="73" t="s">
        <v>33</v>
      </c>
      <c r="I60" s="73" t="s">
        <v>20</v>
      </c>
      <c r="J60" s="73" t="s">
        <v>345</v>
      </c>
      <c r="K60" s="73" t="s">
        <v>22</v>
      </c>
      <c r="L60" s="4"/>
      <c r="M60" s="4"/>
      <c r="N60" s="4"/>
      <c r="O60" s="4"/>
      <c r="P60" s="4"/>
      <c r="Q60" s="4"/>
      <c r="R60" s="3"/>
      <c r="S60" s="3"/>
      <c r="T60" s="4"/>
      <c r="U60" s="4"/>
      <c r="V60" s="4"/>
      <c r="W60" s="4"/>
      <c r="X60" s="4"/>
      <c r="Y60" s="4"/>
      <c r="Z60" s="4"/>
      <c r="AA60" s="4"/>
      <c r="AB60" s="4"/>
      <c r="AC60" s="4"/>
    </row>
    <row r="61" spans="1:29" s="2" customFormat="1" x14ac:dyDescent="0.3">
      <c r="A61" s="73" t="s">
        <v>350</v>
      </c>
      <c r="B61" s="74">
        <v>46098</v>
      </c>
      <c r="C61" s="75">
        <v>1</v>
      </c>
      <c r="D61" s="75">
        <v>0</v>
      </c>
      <c r="E61" s="73" t="s">
        <v>72</v>
      </c>
      <c r="F61" s="73" t="s">
        <v>200</v>
      </c>
      <c r="G61" s="73" t="s">
        <v>55</v>
      </c>
      <c r="H61" s="73" t="s">
        <v>33</v>
      </c>
      <c r="I61" s="73" t="s">
        <v>20</v>
      </c>
      <c r="J61" s="73" t="s">
        <v>341</v>
      </c>
      <c r="K61" s="73" t="s">
        <v>43</v>
      </c>
      <c r="L61" s="4"/>
      <c r="M61" s="4"/>
      <c r="N61" s="4"/>
      <c r="O61" s="4"/>
      <c r="P61" s="4"/>
      <c r="Q61" s="4"/>
      <c r="R61" s="3"/>
      <c r="S61" s="3"/>
      <c r="T61" s="4"/>
      <c r="U61" s="4"/>
      <c r="V61" s="4"/>
      <c r="W61" s="4"/>
      <c r="X61" s="4"/>
      <c r="Y61" s="4"/>
      <c r="Z61" s="4"/>
      <c r="AA61" s="4"/>
      <c r="AB61" s="4"/>
      <c r="AC61" s="4"/>
    </row>
    <row r="62" spans="1:29" s="2" customFormat="1" x14ac:dyDescent="0.3">
      <c r="A62" s="73" t="s">
        <v>360</v>
      </c>
      <c r="B62" s="74">
        <v>46101</v>
      </c>
      <c r="C62" s="75">
        <v>1</v>
      </c>
      <c r="D62" s="75">
        <v>0</v>
      </c>
      <c r="E62" s="73" t="s">
        <v>361</v>
      </c>
      <c r="F62" s="73" t="s">
        <v>200</v>
      </c>
      <c r="G62" s="73" t="s">
        <v>55</v>
      </c>
      <c r="H62" s="73" t="s">
        <v>33</v>
      </c>
      <c r="I62" s="73" t="s">
        <v>20</v>
      </c>
      <c r="J62" s="73" t="s">
        <v>12</v>
      </c>
      <c r="K62" s="73" t="s">
        <v>24</v>
      </c>
      <c r="L62" s="4"/>
      <c r="M62" s="4"/>
      <c r="N62" s="4"/>
      <c r="O62" s="4"/>
      <c r="P62" s="4"/>
      <c r="Q62" s="4"/>
      <c r="R62" s="3"/>
      <c r="S62" s="3"/>
      <c r="T62" s="4"/>
      <c r="U62" s="4"/>
      <c r="V62" s="4"/>
      <c r="W62" s="4"/>
      <c r="X62" s="4"/>
      <c r="Y62" s="4"/>
      <c r="Z62" s="4"/>
      <c r="AA62" s="4"/>
      <c r="AB62" s="4"/>
      <c r="AC62" s="4"/>
    </row>
    <row r="63" spans="1:29" s="2" customFormat="1" hidden="1" x14ac:dyDescent="0.3">
      <c r="A63" s="77" t="s">
        <v>362</v>
      </c>
      <c r="B63" s="78">
        <v>46101</v>
      </c>
      <c r="C63" s="79">
        <v>1</v>
      </c>
      <c r="D63" s="79">
        <v>0</v>
      </c>
      <c r="E63" s="77" t="s">
        <v>363</v>
      </c>
      <c r="F63" s="77" t="s">
        <v>364</v>
      </c>
      <c r="G63" s="77" t="s">
        <v>55</v>
      </c>
      <c r="H63" s="77" t="s">
        <v>33</v>
      </c>
      <c r="I63" s="77" t="s">
        <v>20</v>
      </c>
      <c r="J63" s="77" t="s">
        <v>321</v>
      </c>
      <c r="K63" s="77" t="s">
        <v>24</v>
      </c>
      <c r="L63" s="4"/>
      <c r="M63" s="4"/>
      <c r="N63" s="4"/>
      <c r="O63" s="4"/>
      <c r="P63" s="4"/>
      <c r="Q63" s="4"/>
      <c r="R63" s="3"/>
      <c r="S63" s="3"/>
      <c r="T63" s="4"/>
      <c r="U63" s="4"/>
      <c r="V63" s="4"/>
      <c r="W63" s="4"/>
      <c r="X63" s="4"/>
      <c r="Y63" s="4"/>
      <c r="Z63" s="4"/>
      <c r="AA63" s="4"/>
      <c r="AB63" s="4"/>
      <c r="AC63" s="4"/>
    </row>
    <row r="64" spans="1:29" s="2" customFormat="1" x14ac:dyDescent="0.3">
      <c r="A64" s="77"/>
      <c r="B64" s="78"/>
      <c r="C64" s="79"/>
      <c r="D64" s="79"/>
      <c r="E64" s="77"/>
      <c r="F64" s="77"/>
      <c r="G64" s="77"/>
      <c r="H64" s="77"/>
      <c r="I64" s="77"/>
      <c r="J64" s="77"/>
      <c r="K64" s="77"/>
      <c r="L64" s="4"/>
      <c r="M64" s="4"/>
      <c r="N64" s="4"/>
      <c r="O64" s="4"/>
      <c r="P64" s="4"/>
      <c r="Q64" s="4"/>
      <c r="R64" s="3"/>
      <c r="S64" s="3"/>
      <c r="T64" s="4"/>
      <c r="U64" s="4"/>
      <c r="V64" s="4"/>
      <c r="W64" s="4"/>
      <c r="X64" s="4"/>
      <c r="Y64" s="4"/>
      <c r="Z64" s="4"/>
      <c r="AA64" s="4"/>
      <c r="AB64" s="4"/>
      <c r="AC64" s="4"/>
    </row>
    <row r="65" spans="1:29" s="2" customFormat="1" ht="15" thickBot="1" x14ac:dyDescent="0.35">
      <c r="A65" s="77"/>
      <c r="B65" s="78"/>
      <c r="C65" s="79"/>
      <c r="D65" s="79"/>
      <c r="E65" s="77"/>
      <c r="F65" s="77"/>
      <c r="G65" s="77"/>
      <c r="H65" s="77"/>
      <c r="I65" s="77"/>
      <c r="J65" s="77"/>
      <c r="K65" s="77"/>
      <c r="L65" s="4"/>
      <c r="M65" s="4"/>
      <c r="N65" s="4"/>
      <c r="O65" s="4"/>
      <c r="P65" s="4"/>
      <c r="Q65" s="4"/>
      <c r="R65" s="3"/>
      <c r="S65" s="3"/>
      <c r="T65" s="4"/>
      <c r="U65" s="4"/>
      <c r="V65" s="4"/>
      <c r="W65" s="4"/>
      <c r="X65" s="4"/>
      <c r="Y65" s="4"/>
      <c r="Z65" s="4"/>
      <c r="AA65" s="4"/>
      <c r="AB65" s="4"/>
      <c r="AC65" s="4"/>
    </row>
    <row r="66" spans="1:29" ht="15" thickBot="1" x14ac:dyDescent="0.35">
      <c r="B66" s="38" t="s">
        <v>266</v>
      </c>
      <c r="C66" s="22">
        <v>7</v>
      </c>
    </row>
  </sheetData>
  <autoFilter ref="A3:J25" xr:uid="{6E392464-0CD5-4B6C-9B5A-A4EF4B03C567}">
    <sortState xmlns:xlrd2="http://schemas.microsoft.com/office/spreadsheetml/2017/richdata2" ref="A4:J35">
      <sortCondition ref="B3:B25"/>
    </sortState>
  </autoFilter>
  <conditionalFormatting sqref="F1:F42">
    <cfRule type="cellIs" dxfId="194" priority="1" operator="equal">
      <formula>"Non-Billable"</formula>
    </cfRule>
    <cfRule type="cellIs" dxfId="193" priority="2" operator="equal">
      <formula>"Billable"</formula>
    </cfRule>
  </conditionalFormatting>
  <conditionalFormatting sqref="F43">
    <cfRule type="cellIs" dxfId="192" priority="62" operator="equal">
      <formula>"Not Accepting Application"</formula>
    </cfRule>
    <cfRule type="cellIs" dxfId="191" priority="63" operator="equal">
      <formula>"Y"</formula>
    </cfRule>
  </conditionalFormatting>
  <conditionalFormatting sqref="F45:F1048576">
    <cfRule type="cellIs" dxfId="190" priority="41" operator="equal">
      <formula>"Non-Billable"</formula>
    </cfRule>
    <cfRule type="cellIs" dxfId="189" priority="42" operator="equal">
      <formula>"Billable"</formula>
    </cfRule>
  </conditionalFormatting>
  <conditionalFormatting sqref="H1:H2 H4:H42 F43 H44:H46 H48:H54 H56:H1048576">
    <cfRule type="cellIs" dxfId="188" priority="60" operator="equal">
      <formula>"Not accpeting applications"</formula>
    </cfRule>
  </conditionalFormatting>
  <conditionalFormatting sqref="H1:H2 H4:H42 H44:H46 H48:H54 AG56:AG66 H56:H1048576">
    <cfRule type="cellIs" dxfId="187" priority="59" operator="equal">
      <formula>"Not Accepting Applications"</formula>
    </cfRule>
  </conditionalFormatting>
  <conditionalFormatting sqref="H4:H42">
    <cfRule type="cellIs" dxfId="186" priority="61" operator="equal">
      <formula>"Accepting Applications"</formula>
    </cfRule>
  </conditionalFormatting>
  <conditionalFormatting sqref="H48:H49">
    <cfRule type="cellIs" dxfId="185" priority="66" operator="equal">
      <formula>"Y"</formula>
    </cfRule>
    <cfRule type="cellIs" dxfId="184" priority="64" operator="equal">
      <formula>"Not Accepting Application"</formula>
    </cfRule>
    <cfRule type="cellIs" dxfId="183" priority="65" operator="equal">
      <formula>"Accepting Applications"</formula>
    </cfRule>
  </conditionalFormatting>
  <conditionalFormatting sqref="H58">
    <cfRule type="cellIs" dxfId="182" priority="55" operator="equal">
      <formula>"Accepting Applications"</formula>
    </cfRule>
  </conditionalFormatting>
  <conditionalFormatting sqref="I1:I42 F43:G43 I45:I1048576">
    <cfRule type="cellIs" dxfId="181" priority="57" operator="equal">
      <formula>"Accepting Applications"</formula>
    </cfRule>
    <cfRule type="cellIs" dxfId="180" priority="58" operator="equal">
      <formula>"Not Accepting Applications"</formula>
    </cfRule>
  </conditionalFormatting>
  <conditionalFormatting sqref="I1:I42 G43 I45:I1048576">
    <cfRule type="cellIs" dxfId="179" priority="56" operator="equal">
      <formula>"Pending"</formula>
    </cfRule>
  </conditionalFormatting>
  <pageMargins left="0.7" right="0.7" top="0.75" bottom="0.75" header="0.3" footer="0.3"/>
  <pageSetup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95CD1-3509-47A9-9A73-DE6D5348971A}">
  <sheetPr>
    <tabColor theme="2" tint="-0.499984740745262"/>
  </sheetPr>
  <dimension ref="A1:AC66"/>
  <sheetViews>
    <sheetView showGridLines="0" zoomScale="80" zoomScaleNormal="80" workbookViewId="0">
      <selection activeCell="F37" sqref="F37"/>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0.33333333333333331</v>
      </c>
      <c r="B1" s="37">
        <v>46100</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73" t="s">
        <v>74</v>
      </c>
      <c r="B4" s="74">
        <v>46076</v>
      </c>
      <c r="C4" s="75">
        <v>1</v>
      </c>
      <c r="D4" s="75">
        <v>0</v>
      </c>
      <c r="E4" s="73" t="s">
        <v>75</v>
      </c>
      <c r="F4" s="73" t="s">
        <v>98</v>
      </c>
      <c r="G4" s="73" t="s">
        <v>7</v>
      </c>
      <c r="H4" s="73" t="s">
        <v>76</v>
      </c>
      <c r="I4" s="73" t="s">
        <v>9</v>
      </c>
      <c r="J4" s="73" t="s">
        <v>77</v>
      </c>
      <c r="K4" s="73" t="s">
        <v>13</v>
      </c>
      <c r="AB4" s="2" t="s">
        <v>10</v>
      </c>
      <c r="AC4" s="2" t="s">
        <v>11</v>
      </c>
    </row>
    <row r="5" spans="1:29" s="2" customFormat="1" x14ac:dyDescent="0.3">
      <c r="A5" s="73" t="s">
        <v>128</v>
      </c>
      <c r="B5" s="74">
        <v>46035</v>
      </c>
      <c r="C5" s="75">
        <v>1</v>
      </c>
      <c r="D5" s="75">
        <v>0</v>
      </c>
      <c r="E5" s="73" t="s">
        <v>129</v>
      </c>
      <c r="F5" s="73" t="s">
        <v>200</v>
      </c>
      <c r="G5" s="73" t="s">
        <v>7</v>
      </c>
      <c r="H5" s="73" t="s">
        <v>64</v>
      </c>
      <c r="I5" s="73" t="s">
        <v>9</v>
      </c>
      <c r="J5" s="73" t="s">
        <v>65</v>
      </c>
      <c r="K5" s="73" t="s">
        <v>48</v>
      </c>
      <c r="AB5" s="2" t="s">
        <v>14</v>
      </c>
      <c r="AC5" s="2">
        <v>17</v>
      </c>
    </row>
    <row r="6" spans="1:29" s="2" customFormat="1" x14ac:dyDescent="0.3">
      <c r="A6" s="73" t="s">
        <v>157</v>
      </c>
      <c r="B6" s="74">
        <v>46098</v>
      </c>
      <c r="C6" s="75">
        <v>1</v>
      </c>
      <c r="D6" s="75">
        <v>0</v>
      </c>
      <c r="E6" s="73" t="s">
        <v>158</v>
      </c>
      <c r="F6" s="73" t="s">
        <v>98</v>
      </c>
      <c r="G6" s="73" t="s">
        <v>7</v>
      </c>
      <c r="H6" s="73" t="s">
        <v>18</v>
      </c>
      <c r="I6" s="73" t="s">
        <v>56</v>
      </c>
      <c r="J6" s="73" t="s">
        <v>159</v>
      </c>
      <c r="K6" s="73" t="s">
        <v>28</v>
      </c>
      <c r="N6" s="10"/>
      <c r="AB6" s="2" t="s">
        <v>15</v>
      </c>
      <c r="AC6" s="2">
        <v>3</v>
      </c>
    </row>
    <row r="7" spans="1:29" s="2" customFormat="1" x14ac:dyDescent="0.3">
      <c r="A7" s="73" t="s">
        <v>221</v>
      </c>
      <c r="B7" s="74">
        <v>46085</v>
      </c>
      <c r="C7" s="75">
        <v>2</v>
      </c>
      <c r="D7" s="75">
        <v>0</v>
      </c>
      <c r="E7" s="73" t="s">
        <v>201</v>
      </c>
      <c r="F7" s="73" t="s">
        <v>200</v>
      </c>
      <c r="G7" s="73" t="s">
        <v>7</v>
      </c>
      <c r="H7" s="73" t="s">
        <v>312</v>
      </c>
      <c r="I7" s="73" t="s">
        <v>9</v>
      </c>
      <c r="J7" s="73" t="s">
        <v>105</v>
      </c>
      <c r="K7" s="73" t="s">
        <v>43</v>
      </c>
    </row>
    <row r="8" spans="1:29" s="2" customFormat="1" x14ac:dyDescent="0.3">
      <c r="A8" s="73" t="s">
        <v>222</v>
      </c>
      <c r="B8" s="74">
        <v>46079</v>
      </c>
      <c r="C8" s="75">
        <v>1</v>
      </c>
      <c r="D8" s="75">
        <v>0</v>
      </c>
      <c r="E8" s="73" t="s">
        <v>223</v>
      </c>
      <c r="F8" s="73" t="s">
        <v>200</v>
      </c>
      <c r="G8" s="73" t="s">
        <v>7</v>
      </c>
      <c r="H8" s="73" t="s">
        <v>305</v>
      </c>
      <c r="I8" s="73" t="s">
        <v>9</v>
      </c>
      <c r="J8" s="73" t="s">
        <v>180</v>
      </c>
      <c r="K8" s="73" t="s">
        <v>13</v>
      </c>
    </row>
    <row r="9" spans="1:29" s="2" customFormat="1" x14ac:dyDescent="0.3">
      <c r="A9" s="73" t="s">
        <v>226</v>
      </c>
      <c r="B9" s="74">
        <v>46099</v>
      </c>
      <c r="C9" s="75">
        <v>2</v>
      </c>
      <c r="D9" s="75">
        <v>1</v>
      </c>
      <c r="E9" s="73" t="s">
        <v>227</v>
      </c>
      <c r="F9" s="73" t="s">
        <v>200</v>
      </c>
      <c r="G9" s="73" t="s">
        <v>7</v>
      </c>
      <c r="H9" s="73" t="s">
        <v>18</v>
      </c>
      <c r="I9" s="73" t="s">
        <v>56</v>
      </c>
      <c r="J9" s="73" t="s">
        <v>180</v>
      </c>
      <c r="K9" s="73" t="s">
        <v>13</v>
      </c>
    </row>
    <row r="10" spans="1:29" s="2" customFormat="1" x14ac:dyDescent="0.3">
      <c r="A10" s="73" t="s">
        <v>228</v>
      </c>
      <c r="B10" s="74">
        <v>46085</v>
      </c>
      <c r="C10" s="75">
        <v>1</v>
      </c>
      <c r="D10" s="75">
        <v>0</v>
      </c>
      <c r="E10" s="73" t="s">
        <v>30</v>
      </c>
      <c r="F10" s="73" t="s">
        <v>200</v>
      </c>
      <c r="G10" s="73" t="s">
        <v>7</v>
      </c>
      <c r="H10" s="73" t="s">
        <v>313</v>
      </c>
      <c r="I10" s="73" t="s">
        <v>9</v>
      </c>
      <c r="J10" s="73" t="s">
        <v>12</v>
      </c>
      <c r="K10" s="73" t="s">
        <v>24</v>
      </c>
    </row>
    <row r="11" spans="1:29" s="2" customFormat="1" x14ac:dyDescent="0.3">
      <c r="A11" s="73" t="s">
        <v>229</v>
      </c>
      <c r="B11" s="74">
        <v>46065</v>
      </c>
      <c r="C11" s="75">
        <v>3</v>
      </c>
      <c r="D11" s="75">
        <v>2</v>
      </c>
      <c r="E11" s="73" t="s">
        <v>45</v>
      </c>
      <c r="F11" s="73" t="s">
        <v>200</v>
      </c>
      <c r="G11" s="73" t="s">
        <v>7</v>
      </c>
      <c r="H11" s="73" t="s">
        <v>272</v>
      </c>
      <c r="I11" s="73" t="s">
        <v>20</v>
      </c>
      <c r="J11" s="73" t="s">
        <v>121</v>
      </c>
      <c r="K11" s="73" t="s">
        <v>13</v>
      </c>
    </row>
    <row r="12" spans="1:29" s="2" customFormat="1" x14ac:dyDescent="0.3">
      <c r="A12" s="73" t="s">
        <v>230</v>
      </c>
      <c r="B12" s="74">
        <v>46094</v>
      </c>
      <c r="C12" s="75">
        <v>1</v>
      </c>
      <c r="D12" s="75">
        <v>0</v>
      </c>
      <c r="E12" s="73" t="s">
        <v>263</v>
      </c>
      <c r="F12" s="73" t="s">
        <v>98</v>
      </c>
      <c r="G12" s="73" t="s">
        <v>7</v>
      </c>
      <c r="H12" s="73" t="s">
        <v>274</v>
      </c>
      <c r="I12" s="73" t="s">
        <v>9</v>
      </c>
      <c r="J12" s="73" t="s">
        <v>12</v>
      </c>
      <c r="K12" s="73" t="s">
        <v>24</v>
      </c>
    </row>
    <row r="13" spans="1:29" s="2" customFormat="1" x14ac:dyDescent="0.3">
      <c r="A13" s="73" t="s">
        <v>234</v>
      </c>
      <c r="B13" s="74">
        <v>46056</v>
      </c>
      <c r="C13" s="75">
        <v>30</v>
      </c>
      <c r="D13" s="75">
        <v>12</v>
      </c>
      <c r="E13" s="73" t="s">
        <v>45</v>
      </c>
      <c r="F13" s="73" t="s">
        <v>200</v>
      </c>
      <c r="G13" s="73" t="s">
        <v>7</v>
      </c>
      <c r="H13" s="73" t="s">
        <v>259</v>
      </c>
      <c r="I13" s="73" t="s">
        <v>20</v>
      </c>
      <c r="J13" s="73" t="s">
        <v>49</v>
      </c>
      <c r="K13" s="73" t="s">
        <v>91</v>
      </c>
    </row>
    <row r="14" spans="1:29" s="2" customFormat="1" x14ac:dyDescent="0.3">
      <c r="A14" s="73" t="s">
        <v>243</v>
      </c>
      <c r="B14" s="74">
        <v>46085</v>
      </c>
      <c r="C14" s="75">
        <v>1</v>
      </c>
      <c r="D14" s="75">
        <v>0</v>
      </c>
      <c r="E14" s="73" t="s">
        <v>244</v>
      </c>
      <c r="F14" s="73" t="s">
        <v>98</v>
      </c>
      <c r="G14" s="73" t="s">
        <v>7</v>
      </c>
      <c r="H14" s="73" t="s">
        <v>33</v>
      </c>
      <c r="I14" s="73" t="s">
        <v>20</v>
      </c>
      <c r="J14" s="73" t="s">
        <v>103</v>
      </c>
      <c r="K14" s="73" t="s">
        <v>21</v>
      </c>
    </row>
    <row r="15" spans="1:29" s="2" customFormat="1" x14ac:dyDescent="0.3">
      <c r="A15" s="73" t="s">
        <v>246</v>
      </c>
      <c r="B15" s="74">
        <v>46091</v>
      </c>
      <c r="C15" s="75">
        <v>1</v>
      </c>
      <c r="D15" s="75">
        <v>0</v>
      </c>
      <c r="E15" s="73" t="s">
        <v>232</v>
      </c>
      <c r="F15" s="73" t="s">
        <v>200</v>
      </c>
      <c r="G15" s="73" t="s">
        <v>7</v>
      </c>
      <c r="H15" s="73" t="s">
        <v>64</v>
      </c>
      <c r="I15" s="73" t="s">
        <v>9</v>
      </c>
      <c r="J15" s="73" t="s">
        <v>65</v>
      </c>
      <c r="K15" s="73" t="s">
        <v>48</v>
      </c>
    </row>
    <row r="16" spans="1:29" s="2" customFormat="1" ht="15" customHeight="1" x14ac:dyDescent="0.3">
      <c r="A16" s="73" t="s">
        <v>247</v>
      </c>
      <c r="B16" s="74">
        <v>46094</v>
      </c>
      <c r="C16" s="75">
        <v>1</v>
      </c>
      <c r="D16" s="75">
        <v>0</v>
      </c>
      <c r="E16" s="73" t="s">
        <v>120</v>
      </c>
      <c r="F16" s="73" t="s">
        <v>200</v>
      </c>
      <c r="G16" s="73" t="s">
        <v>7</v>
      </c>
      <c r="H16" s="73" t="s">
        <v>18</v>
      </c>
      <c r="I16" s="73" t="s">
        <v>56</v>
      </c>
      <c r="J16" s="73" t="s">
        <v>248</v>
      </c>
      <c r="K16" s="73" t="s">
        <v>43</v>
      </c>
    </row>
    <row r="17" spans="1:11" s="2" customFormat="1" ht="13.95" customHeight="1" x14ac:dyDescent="0.3">
      <c r="A17" s="73" t="s">
        <v>249</v>
      </c>
      <c r="B17" s="74">
        <v>46076</v>
      </c>
      <c r="C17" s="75">
        <v>2</v>
      </c>
      <c r="D17" s="75">
        <v>0</v>
      </c>
      <c r="E17" s="73" t="s">
        <v>45</v>
      </c>
      <c r="F17" s="73" t="s">
        <v>200</v>
      </c>
      <c r="G17" s="73" t="s">
        <v>7</v>
      </c>
      <c r="H17" s="73" t="s">
        <v>27</v>
      </c>
      <c r="I17" s="73" t="s">
        <v>20</v>
      </c>
      <c r="J17" s="73" t="s">
        <v>121</v>
      </c>
      <c r="K17" s="73" t="s">
        <v>13</v>
      </c>
    </row>
    <row r="18" spans="1:11" s="2" customFormat="1" x14ac:dyDescent="0.3">
      <c r="A18" s="73" t="s">
        <v>253</v>
      </c>
      <c r="B18" s="74">
        <v>46069</v>
      </c>
      <c r="C18" s="75">
        <v>1</v>
      </c>
      <c r="D18" s="75">
        <v>0</v>
      </c>
      <c r="E18" s="73" t="s">
        <v>244</v>
      </c>
      <c r="F18" s="73" t="s">
        <v>98</v>
      </c>
      <c r="G18" s="73" t="s">
        <v>7</v>
      </c>
      <c r="H18" s="73" t="s">
        <v>33</v>
      </c>
      <c r="I18" s="73" t="s">
        <v>20</v>
      </c>
      <c r="J18" s="73" t="s">
        <v>103</v>
      </c>
      <c r="K18" s="73" t="s">
        <v>21</v>
      </c>
    </row>
    <row r="19" spans="1:11" s="2" customFormat="1" x14ac:dyDescent="0.3">
      <c r="A19" s="73" t="s">
        <v>267</v>
      </c>
      <c r="B19" s="74">
        <v>46077</v>
      </c>
      <c r="C19" s="75">
        <v>1</v>
      </c>
      <c r="D19" s="75">
        <v>0</v>
      </c>
      <c r="E19" s="73" t="s">
        <v>268</v>
      </c>
      <c r="F19" s="73" t="s">
        <v>98</v>
      </c>
      <c r="G19" s="73" t="s">
        <v>7</v>
      </c>
      <c r="H19" s="73" t="s">
        <v>27</v>
      </c>
      <c r="I19" s="73" t="s">
        <v>9</v>
      </c>
      <c r="J19" s="73" t="s">
        <v>269</v>
      </c>
      <c r="K19" s="73" t="s">
        <v>22</v>
      </c>
    </row>
    <row r="20" spans="1:11" s="2" customFormat="1" x14ac:dyDescent="0.3">
      <c r="A20" s="73" t="s">
        <v>270</v>
      </c>
      <c r="B20" s="74">
        <v>46079</v>
      </c>
      <c r="C20" s="75">
        <v>1</v>
      </c>
      <c r="D20" s="75">
        <v>0</v>
      </c>
      <c r="E20" s="73" t="s">
        <v>25</v>
      </c>
      <c r="F20" s="73" t="s">
        <v>200</v>
      </c>
      <c r="G20" s="73" t="s">
        <v>7</v>
      </c>
      <c r="H20" s="73" t="s">
        <v>64</v>
      </c>
      <c r="I20" s="73" t="s">
        <v>9</v>
      </c>
      <c r="J20" s="73" t="s">
        <v>271</v>
      </c>
      <c r="K20" s="73" t="s">
        <v>19</v>
      </c>
    </row>
    <row r="21" spans="1:11" s="2" customFormat="1" ht="15" customHeight="1" x14ac:dyDescent="0.3">
      <c r="A21" s="73" t="s">
        <v>277</v>
      </c>
      <c r="B21" s="74">
        <v>46076</v>
      </c>
      <c r="C21" s="75">
        <v>1</v>
      </c>
      <c r="D21" s="75">
        <v>0</v>
      </c>
      <c r="E21" s="73" t="s">
        <v>283</v>
      </c>
      <c r="F21" s="73" t="s">
        <v>98</v>
      </c>
      <c r="G21" s="73" t="s">
        <v>7</v>
      </c>
      <c r="H21" s="73" t="s">
        <v>47</v>
      </c>
      <c r="I21" s="73" t="s">
        <v>9</v>
      </c>
      <c r="J21" s="73" t="s">
        <v>134</v>
      </c>
      <c r="K21" s="73" t="s">
        <v>13</v>
      </c>
    </row>
    <row r="22" spans="1:11" s="2" customFormat="1" x14ac:dyDescent="0.3">
      <c r="A22" s="73" t="s">
        <v>284</v>
      </c>
      <c r="B22" s="74">
        <v>46085</v>
      </c>
      <c r="C22" s="75">
        <v>1</v>
      </c>
      <c r="D22" s="75">
        <v>0</v>
      </c>
      <c r="E22" s="73" t="s">
        <v>285</v>
      </c>
      <c r="F22" s="73" t="s">
        <v>98</v>
      </c>
      <c r="G22" s="73" t="s">
        <v>7</v>
      </c>
      <c r="H22" s="73" t="s">
        <v>315</v>
      </c>
      <c r="I22" s="73" t="s">
        <v>9</v>
      </c>
      <c r="J22" s="73" t="s">
        <v>286</v>
      </c>
      <c r="K22" s="73" t="s">
        <v>287</v>
      </c>
    </row>
    <row r="23" spans="1:11" s="2" customFormat="1" x14ac:dyDescent="0.3">
      <c r="A23" s="73" t="s">
        <v>288</v>
      </c>
      <c r="B23" s="74">
        <v>46092</v>
      </c>
      <c r="C23" s="75">
        <v>1</v>
      </c>
      <c r="D23" s="75">
        <v>0</v>
      </c>
      <c r="E23" s="73" t="s">
        <v>40</v>
      </c>
      <c r="F23" s="73" t="s">
        <v>98</v>
      </c>
      <c r="G23" s="73" t="s">
        <v>7</v>
      </c>
      <c r="H23" s="73" t="s">
        <v>33</v>
      </c>
      <c r="I23" s="73" t="s">
        <v>20</v>
      </c>
      <c r="J23" s="73" t="s">
        <v>165</v>
      </c>
      <c r="K23" s="73" t="s">
        <v>13</v>
      </c>
    </row>
    <row r="24" spans="1:11" s="2" customFormat="1" x14ac:dyDescent="0.3">
      <c r="A24" s="73" t="s">
        <v>291</v>
      </c>
      <c r="B24" s="74">
        <v>46078</v>
      </c>
      <c r="C24" s="75">
        <v>1</v>
      </c>
      <c r="D24" s="75">
        <v>0</v>
      </c>
      <c r="E24" s="73" t="s">
        <v>292</v>
      </c>
      <c r="F24" s="73" t="s">
        <v>98</v>
      </c>
      <c r="G24" s="73" t="s">
        <v>7</v>
      </c>
      <c r="H24" s="73" t="s">
        <v>44</v>
      </c>
      <c r="I24" s="73" t="s">
        <v>9</v>
      </c>
      <c r="J24" s="73" t="s">
        <v>95</v>
      </c>
      <c r="K24" s="73" t="s">
        <v>13</v>
      </c>
    </row>
    <row r="25" spans="1:11" s="2" customFormat="1" x14ac:dyDescent="0.3">
      <c r="A25" s="73" t="s">
        <v>299</v>
      </c>
      <c r="B25" s="74">
        <v>46085</v>
      </c>
      <c r="C25" s="75">
        <v>1</v>
      </c>
      <c r="D25" s="75">
        <v>0</v>
      </c>
      <c r="E25" s="73" t="s">
        <v>46</v>
      </c>
      <c r="F25" s="73" t="s">
        <v>200</v>
      </c>
      <c r="G25" s="73" t="s">
        <v>7</v>
      </c>
      <c r="H25" s="73" t="s">
        <v>27</v>
      </c>
      <c r="I25" s="73" t="s">
        <v>9</v>
      </c>
      <c r="J25" s="73" t="s">
        <v>49</v>
      </c>
      <c r="K25" s="73" t="s">
        <v>48</v>
      </c>
    </row>
    <row r="26" spans="1:11" s="2" customFormat="1" x14ac:dyDescent="0.3">
      <c r="A26" s="73" t="s">
        <v>300</v>
      </c>
      <c r="B26" s="74">
        <v>46086</v>
      </c>
      <c r="C26" s="75">
        <v>1</v>
      </c>
      <c r="D26" s="75">
        <v>0</v>
      </c>
      <c r="E26" s="73" t="s">
        <v>301</v>
      </c>
      <c r="F26" s="73" t="s">
        <v>200</v>
      </c>
      <c r="G26" s="73" t="s">
        <v>7</v>
      </c>
      <c r="H26" s="73" t="s">
        <v>23</v>
      </c>
      <c r="I26" s="73" t="s">
        <v>9</v>
      </c>
      <c r="J26" s="73" t="s">
        <v>302</v>
      </c>
      <c r="K26" s="73" t="s">
        <v>91</v>
      </c>
    </row>
    <row r="27" spans="1:11" s="2" customFormat="1" ht="13.95" customHeight="1" x14ac:dyDescent="0.3">
      <c r="A27" s="73" t="s">
        <v>303</v>
      </c>
      <c r="B27" s="74">
        <v>46098</v>
      </c>
      <c r="C27" s="75">
        <v>1</v>
      </c>
      <c r="D27" s="75">
        <v>0</v>
      </c>
      <c r="E27" s="73" t="s">
        <v>240</v>
      </c>
      <c r="F27" s="73" t="s">
        <v>98</v>
      </c>
      <c r="G27" s="73" t="s">
        <v>7</v>
      </c>
      <c r="H27" s="73" t="s">
        <v>18</v>
      </c>
      <c r="I27" s="73" t="s">
        <v>56</v>
      </c>
      <c r="J27" s="73" t="s">
        <v>186</v>
      </c>
      <c r="K27" s="73" t="s">
        <v>194</v>
      </c>
    </row>
    <row r="28" spans="1:11" s="2" customFormat="1" ht="14.25" customHeight="1" x14ac:dyDescent="0.3">
      <c r="A28" s="73" t="s">
        <v>304</v>
      </c>
      <c r="B28" s="74">
        <v>46091</v>
      </c>
      <c r="C28" s="75">
        <v>1</v>
      </c>
      <c r="D28" s="75">
        <v>0</v>
      </c>
      <c r="E28" s="73" t="s">
        <v>136</v>
      </c>
      <c r="F28" s="73" t="s">
        <v>200</v>
      </c>
      <c r="G28" s="73" t="s">
        <v>7</v>
      </c>
      <c r="H28" s="73" t="s">
        <v>18</v>
      </c>
      <c r="I28" s="73" t="s">
        <v>56</v>
      </c>
      <c r="J28" s="73" t="s">
        <v>137</v>
      </c>
      <c r="K28" s="73" t="s">
        <v>13</v>
      </c>
    </row>
    <row r="29" spans="1:11" s="2" customFormat="1" ht="14.25" customHeight="1" x14ac:dyDescent="0.3">
      <c r="A29" s="73" t="s">
        <v>307</v>
      </c>
      <c r="B29" s="74">
        <v>46085</v>
      </c>
      <c r="C29" s="75">
        <v>1</v>
      </c>
      <c r="D29" s="75">
        <v>0</v>
      </c>
      <c r="E29" s="73" t="s">
        <v>29</v>
      </c>
      <c r="F29" s="73" t="s">
        <v>200</v>
      </c>
      <c r="G29" s="73" t="s">
        <v>7</v>
      </c>
      <c r="H29" s="73" t="s">
        <v>33</v>
      </c>
      <c r="I29" s="73" t="s">
        <v>20</v>
      </c>
      <c r="J29" s="73" t="s">
        <v>33</v>
      </c>
      <c r="K29" s="73" t="s">
        <v>308</v>
      </c>
    </row>
    <row r="30" spans="1:11" s="2" customFormat="1" ht="14.25" customHeight="1" x14ac:dyDescent="0.3">
      <c r="A30" s="73" t="s">
        <v>317</v>
      </c>
      <c r="B30" s="74">
        <v>46092</v>
      </c>
      <c r="C30" s="75">
        <v>1</v>
      </c>
      <c r="D30" s="75">
        <v>0</v>
      </c>
      <c r="E30" s="73" t="s">
        <v>318</v>
      </c>
      <c r="F30" s="73" t="s">
        <v>98</v>
      </c>
      <c r="G30" s="73" t="s">
        <v>7</v>
      </c>
      <c r="H30" s="73" t="s">
        <v>18</v>
      </c>
      <c r="I30" s="73" t="s">
        <v>56</v>
      </c>
      <c r="J30" s="73" t="s">
        <v>42</v>
      </c>
      <c r="K30" s="73" t="s">
        <v>311</v>
      </c>
    </row>
    <row r="31" spans="1:11" s="2" customFormat="1" ht="14.25" customHeight="1" x14ac:dyDescent="0.3">
      <c r="A31" s="73" t="s">
        <v>319</v>
      </c>
      <c r="B31" s="74">
        <v>46090</v>
      </c>
      <c r="C31" s="75">
        <v>1</v>
      </c>
      <c r="D31" s="75">
        <v>0</v>
      </c>
      <c r="E31" s="73" t="s">
        <v>320</v>
      </c>
      <c r="F31" s="73" t="s">
        <v>273</v>
      </c>
      <c r="G31" s="73" t="s">
        <v>7</v>
      </c>
      <c r="H31" s="73" t="s">
        <v>333</v>
      </c>
      <c r="I31" s="73" t="s">
        <v>9</v>
      </c>
      <c r="J31" s="73" t="s">
        <v>321</v>
      </c>
      <c r="K31" s="73" t="s">
        <v>13</v>
      </c>
    </row>
    <row r="32" spans="1:11" s="2" customFormat="1" ht="14.25" customHeight="1" x14ac:dyDescent="0.3">
      <c r="A32" s="73" t="s">
        <v>322</v>
      </c>
      <c r="B32" s="74">
        <v>46090</v>
      </c>
      <c r="C32" s="75">
        <v>2</v>
      </c>
      <c r="D32" s="75">
        <v>0</v>
      </c>
      <c r="E32" s="73" t="s">
        <v>334</v>
      </c>
      <c r="F32" s="73" t="s">
        <v>273</v>
      </c>
      <c r="G32" s="73" t="s">
        <v>7</v>
      </c>
      <c r="H32" s="73" t="s">
        <v>333</v>
      </c>
      <c r="I32" s="73" t="s">
        <v>9</v>
      </c>
      <c r="J32" s="73" t="s">
        <v>321</v>
      </c>
      <c r="K32" s="73" t="s">
        <v>13</v>
      </c>
    </row>
    <row r="33" spans="1:19" s="2" customFormat="1" ht="14.25" customHeight="1" x14ac:dyDescent="0.3">
      <c r="A33" s="73" t="s">
        <v>325</v>
      </c>
      <c r="B33" s="74">
        <v>46092</v>
      </c>
      <c r="C33" s="75">
        <v>1</v>
      </c>
      <c r="D33" s="75">
        <v>0</v>
      </c>
      <c r="E33" s="73" t="s">
        <v>326</v>
      </c>
      <c r="F33" s="73" t="s">
        <v>98</v>
      </c>
      <c r="G33" s="73" t="s">
        <v>7</v>
      </c>
      <c r="H33" s="73" t="s">
        <v>23</v>
      </c>
      <c r="I33" s="73" t="s">
        <v>9</v>
      </c>
      <c r="J33" s="73" t="s">
        <v>327</v>
      </c>
      <c r="K33" s="73" t="s">
        <v>328</v>
      </c>
    </row>
    <row r="34" spans="1:19" s="2" customFormat="1" ht="14.25" customHeight="1" x14ac:dyDescent="0.3">
      <c r="A34" s="73" t="s">
        <v>329</v>
      </c>
      <c r="B34" s="74">
        <v>46098</v>
      </c>
      <c r="C34" s="75">
        <v>1</v>
      </c>
      <c r="D34" s="75">
        <v>0</v>
      </c>
      <c r="E34" s="73" t="s">
        <v>107</v>
      </c>
      <c r="F34" s="73" t="s">
        <v>200</v>
      </c>
      <c r="G34" s="73" t="s">
        <v>7</v>
      </c>
      <c r="H34" s="73" t="s">
        <v>64</v>
      </c>
      <c r="I34" s="73" t="s">
        <v>9</v>
      </c>
      <c r="J34" s="73" t="s">
        <v>50</v>
      </c>
      <c r="K34" s="73" t="s">
        <v>43</v>
      </c>
    </row>
    <row r="35" spans="1:19" s="2" customFormat="1" ht="14.25" customHeight="1" x14ac:dyDescent="0.3">
      <c r="A35" s="73" t="s">
        <v>330</v>
      </c>
      <c r="B35" s="74">
        <v>46092</v>
      </c>
      <c r="C35" s="75">
        <v>1</v>
      </c>
      <c r="D35" s="75">
        <v>0</v>
      </c>
      <c r="E35" s="73" t="s">
        <v>120</v>
      </c>
      <c r="F35" s="73" t="s">
        <v>200</v>
      </c>
      <c r="G35" s="73" t="s">
        <v>7</v>
      </c>
      <c r="H35" s="73" t="s">
        <v>148</v>
      </c>
      <c r="I35" s="73" t="s">
        <v>9</v>
      </c>
      <c r="J35" s="73" t="s">
        <v>121</v>
      </c>
      <c r="K35" s="73" t="s">
        <v>13</v>
      </c>
    </row>
    <row r="36" spans="1:19" s="2" customFormat="1" ht="14.25" customHeight="1" x14ac:dyDescent="0.3">
      <c r="A36" s="73" t="s">
        <v>331</v>
      </c>
      <c r="B36" s="74">
        <v>46100</v>
      </c>
      <c r="C36" s="75">
        <v>1</v>
      </c>
      <c r="D36" s="75">
        <v>0</v>
      </c>
      <c r="E36" s="73" t="s">
        <v>332</v>
      </c>
      <c r="F36" s="73" t="s">
        <v>200</v>
      </c>
      <c r="G36" s="73" t="s">
        <v>7</v>
      </c>
      <c r="H36" s="73" t="s">
        <v>33</v>
      </c>
      <c r="I36" s="73" t="s">
        <v>20</v>
      </c>
      <c r="J36" s="73" t="s">
        <v>137</v>
      </c>
      <c r="K36" s="73" t="s">
        <v>13</v>
      </c>
    </row>
    <row r="37" spans="1:19" s="2" customFormat="1" ht="14.25" customHeight="1" x14ac:dyDescent="0.3">
      <c r="A37" s="73" t="s">
        <v>335</v>
      </c>
      <c r="B37" s="74">
        <v>46093</v>
      </c>
      <c r="C37" s="75">
        <v>1</v>
      </c>
      <c r="D37" s="75">
        <v>0</v>
      </c>
      <c r="E37" s="73" t="s">
        <v>336</v>
      </c>
      <c r="F37" s="73" t="s">
        <v>98</v>
      </c>
      <c r="G37" s="73" t="s">
        <v>7</v>
      </c>
      <c r="H37" s="73" t="s">
        <v>17</v>
      </c>
      <c r="I37" s="73" t="s">
        <v>9</v>
      </c>
      <c r="J37" s="73" t="s">
        <v>175</v>
      </c>
      <c r="K37" s="73" t="s">
        <v>196</v>
      </c>
    </row>
    <row r="38" spans="1:19" s="2" customFormat="1" ht="14.25" customHeight="1" x14ac:dyDescent="0.3">
      <c r="A38" s="73" t="s">
        <v>344</v>
      </c>
      <c r="B38" s="74">
        <v>46100</v>
      </c>
      <c r="C38" s="75">
        <v>1</v>
      </c>
      <c r="D38" s="75">
        <v>0</v>
      </c>
      <c r="E38" s="73" t="s">
        <v>72</v>
      </c>
      <c r="F38" s="73" t="s">
        <v>200</v>
      </c>
      <c r="G38" s="73" t="s">
        <v>7</v>
      </c>
      <c r="H38" s="73" t="s">
        <v>33</v>
      </c>
      <c r="I38" s="73" t="s">
        <v>20</v>
      </c>
      <c r="J38" s="73" t="s">
        <v>345</v>
      </c>
      <c r="K38" s="73" t="s">
        <v>91</v>
      </c>
    </row>
    <row r="39" spans="1:19" s="2" customFormat="1" ht="14.25" customHeight="1" x14ac:dyDescent="0.3">
      <c r="A39" s="77"/>
      <c r="B39" s="78"/>
      <c r="C39" s="79"/>
      <c r="D39" s="79"/>
      <c r="E39" s="77"/>
      <c r="F39" s="77"/>
      <c r="G39" s="77"/>
      <c r="H39" s="77"/>
      <c r="I39" s="77"/>
      <c r="J39" s="77"/>
      <c r="K39" s="77"/>
    </row>
    <row r="40" spans="1:19" ht="15" thickBot="1" x14ac:dyDescent="0.35">
      <c r="A40" s="40"/>
      <c r="B40" s="41"/>
      <c r="C40" s="42"/>
      <c r="D40" s="42"/>
      <c r="E40" s="40"/>
      <c r="F40" s="40"/>
      <c r="G40" s="40"/>
      <c r="H40" s="40"/>
      <c r="I40" s="40"/>
      <c r="J40" s="40"/>
      <c r="K40" s="40"/>
      <c r="P40" s="3"/>
      <c r="Q40" s="3"/>
      <c r="R40" s="4"/>
      <c r="S40" s="4"/>
    </row>
    <row r="41" spans="1:19" ht="15" thickBot="1" x14ac:dyDescent="0.35">
      <c r="B41" s="34" t="s">
        <v>31</v>
      </c>
      <c r="C41" s="12">
        <f>SUM(C4:C38)-SUM(D4:D38)</f>
        <v>55</v>
      </c>
      <c r="D41" s="29"/>
      <c r="F41" s="35" t="s">
        <v>57</v>
      </c>
      <c r="G41" s="36">
        <f>COUNTIF(I4:I36,"Pending")</f>
        <v>6</v>
      </c>
      <c r="I41" s="38" t="s">
        <v>58</v>
      </c>
      <c r="J41" s="39">
        <f>C41-G41</f>
        <v>49</v>
      </c>
    </row>
    <row r="42" spans="1:19" x14ac:dyDescent="0.3">
      <c r="G42" s="3"/>
      <c r="H42" s="4"/>
      <c r="I42" s="3"/>
    </row>
    <row r="43" spans="1:19" hidden="1" x14ac:dyDescent="0.3">
      <c r="D43" s="13"/>
    </row>
    <row r="44" spans="1:19" s="6" customFormat="1" ht="28.8" x14ac:dyDescent="0.3">
      <c r="A44" s="28" t="s">
        <v>0</v>
      </c>
      <c r="B44" s="28" t="s">
        <v>1</v>
      </c>
      <c r="C44" s="28" t="s">
        <v>2</v>
      </c>
      <c r="D44" s="28" t="s">
        <v>3</v>
      </c>
      <c r="E44" s="28" t="s">
        <v>4</v>
      </c>
      <c r="F44" s="28" t="s">
        <v>51</v>
      </c>
      <c r="G44" s="28" t="s">
        <v>52</v>
      </c>
      <c r="H44" s="28" t="s">
        <v>5</v>
      </c>
      <c r="I44" s="28" t="s">
        <v>53</v>
      </c>
      <c r="J44" s="28" t="s">
        <v>27</v>
      </c>
      <c r="K44" s="28" t="s">
        <v>6</v>
      </c>
    </row>
    <row r="45" spans="1:19" s="18" customFormat="1" ht="15" customHeight="1" x14ac:dyDescent="0.3">
      <c r="A45" s="73" t="s">
        <v>99</v>
      </c>
      <c r="B45" s="74">
        <v>46056</v>
      </c>
      <c r="C45" s="75">
        <v>1</v>
      </c>
      <c r="D45" s="75">
        <v>0</v>
      </c>
      <c r="E45" s="73" t="s">
        <v>166</v>
      </c>
      <c r="F45" s="73" t="s">
        <v>98</v>
      </c>
      <c r="G45" s="73" t="s">
        <v>32</v>
      </c>
      <c r="H45" s="73" t="s">
        <v>44</v>
      </c>
      <c r="I45" s="73" t="s">
        <v>20</v>
      </c>
      <c r="J45" s="73" t="s">
        <v>166</v>
      </c>
      <c r="K45" s="73" t="s">
        <v>13</v>
      </c>
    </row>
    <row r="46" spans="1:19" s="18" customFormat="1" ht="15" customHeight="1" x14ac:dyDescent="0.3">
      <c r="A46" s="73" t="s">
        <v>172</v>
      </c>
      <c r="B46" s="74">
        <v>46056</v>
      </c>
      <c r="C46" s="75">
        <v>1</v>
      </c>
      <c r="D46" s="75">
        <v>0</v>
      </c>
      <c r="E46" s="73" t="s">
        <v>173</v>
      </c>
      <c r="F46" s="73" t="s">
        <v>98</v>
      </c>
      <c r="G46" s="73" t="s">
        <v>32</v>
      </c>
      <c r="H46" s="73" t="s">
        <v>33</v>
      </c>
      <c r="I46" s="73" t="s">
        <v>20</v>
      </c>
      <c r="J46" s="73" t="s">
        <v>175</v>
      </c>
      <c r="K46" s="73" t="s">
        <v>176</v>
      </c>
    </row>
    <row r="47" spans="1:19" x14ac:dyDescent="0.3">
      <c r="A47" s="73" t="s">
        <v>261</v>
      </c>
      <c r="B47" s="74">
        <v>46091</v>
      </c>
      <c r="C47" s="75">
        <v>1</v>
      </c>
      <c r="D47" s="75">
        <v>0</v>
      </c>
      <c r="E47" s="73" t="s">
        <v>262</v>
      </c>
      <c r="F47" s="73" t="s">
        <v>98</v>
      </c>
      <c r="G47" s="73" t="s">
        <v>32</v>
      </c>
      <c r="H47" s="73" t="s">
        <v>17</v>
      </c>
      <c r="I47" s="73" t="s">
        <v>20</v>
      </c>
      <c r="J47" s="73" t="s">
        <v>191</v>
      </c>
      <c r="K47" s="73" t="s">
        <v>13</v>
      </c>
    </row>
    <row r="48" spans="1:19" ht="15" thickBot="1" x14ac:dyDescent="0.35">
      <c r="A48" s="51"/>
      <c r="B48" s="52"/>
      <c r="C48" s="53"/>
      <c r="D48" s="53"/>
      <c r="E48" s="51"/>
      <c r="F48" s="51"/>
      <c r="G48" s="51"/>
      <c r="H48" s="51"/>
      <c r="I48" s="51"/>
      <c r="J48" s="51"/>
      <c r="K48" s="2"/>
    </row>
    <row r="49" spans="1:29" ht="15" thickBot="1" x14ac:dyDescent="0.35">
      <c r="B49" s="60" t="s">
        <v>34</v>
      </c>
      <c r="C49" s="61">
        <v>3</v>
      </c>
      <c r="E49" s="2"/>
      <c r="F49" s="2"/>
      <c r="H49" s="2"/>
      <c r="J49" s="2"/>
      <c r="K49" s="2"/>
    </row>
    <row r="50" spans="1:29" x14ac:dyDescent="0.3">
      <c r="E50" s="2"/>
      <c r="F50" s="2"/>
      <c r="H50" s="2"/>
      <c r="J50" s="2"/>
      <c r="K50" s="2"/>
    </row>
    <row r="51" spans="1:29" hidden="1" x14ac:dyDescent="0.3">
      <c r="E51" s="2"/>
      <c r="F51" s="2"/>
      <c r="H51" s="2"/>
      <c r="J51" s="2"/>
      <c r="K51" s="2"/>
    </row>
    <row r="52" spans="1:29" s="2" customFormat="1" ht="34.35" customHeight="1" x14ac:dyDescent="0.3">
      <c r="A52" s="62" t="s">
        <v>0</v>
      </c>
      <c r="B52" s="62" t="s">
        <v>1</v>
      </c>
      <c r="C52" s="62" t="s">
        <v>2</v>
      </c>
      <c r="D52" s="62" t="s">
        <v>3</v>
      </c>
      <c r="E52" s="62" t="s">
        <v>4</v>
      </c>
      <c r="F52" s="62" t="s">
        <v>51</v>
      </c>
      <c r="G52" s="62" t="s">
        <v>52</v>
      </c>
      <c r="H52" s="62" t="s">
        <v>5</v>
      </c>
      <c r="I52" s="62" t="s">
        <v>53</v>
      </c>
      <c r="J52" s="62" t="s">
        <v>27</v>
      </c>
      <c r="K52" s="62" t="s">
        <v>6</v>
      </c>
    </row>
    <row r="53" spans="1:29" s="2" customFormat="1" x14ac:dyDescent="0.3">
      <c r="A53" s="73" t="s">
        <v>309</v>
      </c>
      <c r="B53" s="74">
        <v>46080</v>
      </c>
      <c r="C53" s="75">
        <v>1</v>
      </c>
      <c r="D53" s="75">
        <v>0</v>
      </c>
      <c r="E53" s="73" t="s">
        <v>263</v>
      </c>
      <c r="F53" s="73" t="s">
        <v>200</v>
      </c>
      <c r="G53" s="73" t="s">
        <v>55</v>
      </c>
      <c r="H53" s="73" t="s">
        <v>8</v>
      </c>
      <c r="I53" s="73" t="s">
        <v>20</v>
      </c>
      <c r="J53" s="73" t="s">
        <v>310</v>
      </c>
      <c r="K53" s="73" t="s">
        <v>311</v>
      </c>
      <c r="L53" s="4"/>
      <c r="M53" s="4"/>
      <c r="N53" s="4"/>
      <c r="O53" s="4"/>
      <c r="P53" s="4"/>
      <c r="Q53" s="4"/>
      <c r="R53" s="3"/>
      <c r="S53" s="3"/>
      <c r="T53" s="4"/>
      <c r="U53" s="4"/>
      <c r="V53" s="4"/>
      <c r="W53" s="4"/>
      <c r="X53" s="4"/>
      <c r="Y53" s="4"/>
      <c r="Z53" s="4"/>
      <c r="AA53" s="4"/>
      <c r="AB53" s="4"/>
      <c r="AC53" s="4"/>
    </row>
    <row r="54" spans="1:29" s="2" customFormat="1" x14ac:dyDescent="0.3">
      <c r="A54" s="73" t="s">
        <v>337</v>
      </c>
      <c r="B54" s="74">
        <v>46092</v>
      </c>
      <c r="C54" s="75">
        <v>1</v>
      </c>
      <c r="D54" s="75">
        <v>0</v>
      </c>
      <c r="E54" s="73" t="s">
        <v>90</v>
      </c>
      <c r="F54" s="73" t="s">
        <v>98</v>
      </c>
      <c r="G54" s="73" t="s">
        <v>55</v>
      </c>
      <c r="H54" s="73" t="s">
        <v>33</v>
      </c>
      <c r="I54" s="73" t="s">
        <v>20</v>
      </c>
      <c r="J54" s="73" t="s">
        <v>26</v>
      </c>
      <c r="K54" s="73" t="s">
        <v>91</v>
      </c>
      <c r="L54" s="4"/>
      <c r="M54" s="4"/>
      <c r="N54" s="4"/>
      <c r="O54" s="4"/>
      <c r="P54" s="4"/>
      <c r="Q54" s="4"/>
      <c r="R54" s="3"/>
      <c r="S54" s="3"/>
      <c r="T54" s="4"/>
      <c r="U54" s="4"/>
      <c r="V54" s="4"/>
      <c r="W54" s="4"/>
      <c r="X54" s="4"/>
      <c r="Y54" s="4"/>
      <c r="Z54" s="4"/>
      <c r="AA54" s="4"/>
      <c r="AB54" s="4"/>
      <c r="AC54" s="4"/>
    </row>
    <row r="55" spans="1:29" s="2" customFormat="1" x14ac:dyDescent="0.3">
      <c r="A55" s="73" t="s">
        <v>338</v>
      </c>
      <c r="B55" s="74">
        <v>46092</v>
      </c>
      <c r="C55" s="75">
        <v>1</v>
      </c>
      <c r="D55" s="75">
        <v>0</v>
      </c>
      <c r="E55" s="73" t="s">
        <v>320</v>
      </c>
      <c r="F55" s="73" t="s">
        <v>200</v>
      </c>
      <c r="G55" s="73" t="s">
        <v>55</v>
      </c>
      <c r="H55" s="73" t="s">
        <v>333</v>
      </c>
      <c r="I55" s="73" t="s">
        <v>20</v>
      </c>
      <c r="J55" s="73" t="s">
        <v>77</v>
      </c>
      <c r="K55" s="73" t="s">
        <v>13</v>
      </c>
      <c r="L55" s="4"/>
      <c r="M55" s="4"/>
      <c r="N55" s="4"/>
      <c r="O55" s="4"/>
      <c r="P55" s="4"/>
      <c r="Q55" s="4"/>
      <c r="R55" s="3"/>
      <c r="S55" s="3"/>
      <c r="T55" s="4"/>
      <c r="U55" s="4"/>
      <c r="V55" s="4"/>
      <c r="W55" s="4"/>
      <c r="X55" s="4"/>
      <c r="Y55" s="4"/>
      <c r="Z55" s="4"/>
      <c r="AA55" s="4"/>
      <c r="AB55" s="4"/>
      <c r="AC55" s="4"/>
    </row>
    <row r="56" spans="1:29" s="2" customFormat="1" x14ac:dyDescent="0.3">
      <c r="A56" s="73" t="s">
        <v>339</v>
      </c>
      <c r="B56" s="74">
        <v>46092</v>
      </c>
      <c r="C56" s="75">
        <v>1</v>
      </c>
      <c r="D56" s="75">
        <v>0</v>
      </c>
      <c r="E56" s="73" t="s">
        <v>214</v>
      </c>
      <c r="F56" s="73" t="s">
        <v>200</v>
      </c>
      <c r="G56" s="73" t="s">
        <v>55</v>
      </c>
      <c r="H56" s="73" t="s">
        <v>33</v>
      </c>
      <c r="I56" s="73" t="s">
        <v>20</v>
      </c>
      <c r="J56" s="73" t="s">
        <v>215</v>
      </c>
      <c r="K56" s="73" t="s">
        <v>194</v>
      </c>
      <c r="L56" s="4"/>
      <c r="M56" s="4"/>
      <c r="N56" s="4"/>
      <c r="O56" s="4"/>
      <c r="P56" s="4"/>
      <c r="Q56" s="4"/>
      <c r="R56" s="3"/>
      <c r="S56" s="3"/>
      <c r="T56" s="4"/>
      <c r="U56" s="4"/>
      <c r="V56" s="4"/>
      <c r="W56" s="4"/>
      <c r="X56" s="4"/>
      <c r="Y56" s="4"/>
      <c r="Z56" s="4"/>
      <c r="AA56" s="4"/>
      <c r="AB56" s="4"/>
      <c r="AC56" s="4"/>
    </row>
    <row r="57" spans="1:29" s="2" customFormat="1" x14ac:dyDescent="0.3">
      <c r="A57" s="73" t="s">
        <v>342</v>
      </c>
      <c r="B57" s="74">
        <v>46094</v>
      </c>
      <c r="C57" s="75">
        <v>1</v>
      </c>
      <c r="D57" s="75">
        <v>0</v>
      </c>
      <c r="E57" s="73" t="s">
        <v>343</v>
      </c>
      <c r="F57" s="73" t="s">
        <v>98</v>
      </c>
      <c r="G57" s="73" t="s">
        <v>55</v>
      </c>
      <c r="H57" s="73" t="s">
        <v>148</v>
      </c>
      <c r="I57" s="73" t="s">
        <v>20</v>
      </c>
      <c r="J57" s="73" t="s">
        <v>156</v>
      </c>
      <c r="K57" s="73" t="s">
        <v>13</v>
      </c>
      <c r="L57" s="4"/>
      <c r="M57" s="4"/>
      <c r="N57" s="4"/>
      <c r="O57" s="4"/>
      <c r="P57" s="4"/>
      <c r="Q57" s="4"/>
      <c r="R57" s="3"/>
      <c r="S57" s="3"/>
      <c r="T57" s="4"/>
      <c r="U57" s="4"/>
      <c r="V57" s="4"/>
      <c r="W57" s="4"/>
      <c r="X57" s="4"/>
      <c r="Y57" s="4"/>
      <c r="Z57" s="4"/>
      <c r="AA57" s="4"/>
      <c r="AB57" s="4"/>
      <c r="AC57" s="4"/>
    </row>
    <row r="58" spans="1:29" s="2" customFormat="1" x14ac:dyDescent="0.3">
      <c r="A58" s="73" t="s">
        <v>346</v>
      </c>
      <c r="B58" s="74">
        <v>46097</v>
      </c>
      <c r="C58" s="75">
        <v>1</v>
      </c>
      <c r="D58" s="75">
        <v>0</v>
      </c>
      <c r="E58" s="73" t="s">
        <v>72</v>
      </c>
      <c r="F58" s="73" t="s">
        <v>200</v>
      </c>
      <c r="G58" s="73" t="s">
        <v>55</v>
      </c>
      <c r="H58" s="73" t="s">
        <v>33</v>
      </c>
      <c r="I58" s="73" t="s">
        <v>20</v>
      </c>
      <c r="J58" s="73" t="s">
        <v>345</v>
      </c>
      <c r="K58" s="73" t="s">
        <v>22</v>
      </c>
      <c r="L58" s="4"/>
      <c r="M58" s="4"/>
      <c r="N58" s="4"/>
      <c r="O58" s="4"/>
      <c r="P58" s="4"/>
      <c r="Q58" s="4"/>
      <c r="R58" s="3"/>
      <c r="S58" s="3"/>
      <c r="T58" s="4"/>
      <c r="U58" s="4"/>
      <c r="V58" s="4"/>
      <c r="W58" s="4"/>
      <c r="X58" s="4"/>
      <c r="Y58" s="4"/>
      <c r="Z58" s="4"/>
      <c r="AA58" s="4"/>
      <c r="AB58" s="4"/>
      <c r="AC58" s="4"/>
    </row>
    <row r="59" spans="1:29" s="2" customFormat="1" x14ac:dyDescent="0.3">
      <c r="A59" s="73" t="s">
        <v>347</v>
      </c>
      <c r="B59" s="74">
        <v>46098</v>
      </c>
      <c r="C59" s="75">
        <v>1</v>
      </c>
      <c r="D59" s="75">
        <v>0</v>
      </c>
      <c r="E59" s="73" t="s">
        <v>84</v>
      </c>
      <c r="F59" s="73" t="s">
        <v>98</v>
      </c>
      <c r="G59" s="73" t="s">
        <v>55</v>
      </c>
      <c r="H59" s="73" t="s">
        <v>348</v>
      </c>
      <c r="I59" s="73" t="s">
        <v>20</v>
      </c>
      <c r="J59" s="73" t="s">
        <v>349</v>
      </c>
      <c r="K59" s="73" t="s">
        <v>13</v>
      </c>
      <c r="L59" s="4"/>
      <c r="M59" s="4"/>
      <c r="N59" s="4"/>
      <c r="O59" s="4"/>
      <c r="P59" s="4"/>
      <c r="Q59" s="4"/>
      <c r="R59" s="3"/>
      <c r="S59" s="3"/>
      <c r="T59" s="4"/>
      <c r="U59" s="4"/>
      <c r="V59" s="4"/>
      <c r="W59" s="4"/>
      <c r="X59" s="4"/>
      <c r="Y59" s="4"/>
      <c r="Z59" s="4"/>
      <c r="AA59" s="4"/>
      <c r="AB59" s="4"/>
      <c r="AC59" s="4"/>
    </row>
    <row r="60" spans="1:29" s="2" customFormat="1" hidden="1" x14ac:dyDescent="0.3">
      <c r="A60" s="73" t="s">
        <v>350</v>
      </c>
      <c r="B60" s="74">
        <v>46098</v>
      </c>
      <c r="C60" s="75">
        <v>1</v>
      </c>
      <c r="D60" s="75">
        <v>0</v>
      </c>
      <c r="E60" s="73" t="s">
        <v>72</v>
      </c>
      <c r="F60" s="73" t="s">
        <v>351</v>
      </c>
      <c r="G60" s="73" t="s">
        <v>55</v>
      </c>
      <c r="H60" s="73" t="s">
        <v>33</v>
      </c>
      <c r="I60" s="73" t="s">
        <v>20</v>
      </c>
      <c r="J60" s="73" t="s">
        <v>341</v>
      </c>
      <c r="K60" s="73" t="s">
        <v>43</v>
      </c>
      <c r="L60" s="4"/>
      <c r="M60" s="4"/>
      <c r="N60" s="4"/>
      <c r="O60" s="4"/>
      <c r="P60" s="4"/>
      <c r="Q60" s="4"/>
      <c r="R60" s="3"/>
      <c r="S60" s="3"/>
      <c r="T60" s="4"/>
      <c r="U60" s="4"/>
      <c r="V60" s="4"/>
      <c r="W60" s="4"/>
      <c r="X60" s="4"/>
      <c r="Y60" s="4"/>
      <c r="Z60" s="4"/>
      <c r="AA60" s="4"/>
      <c r="AB60" s="4"/>
      <c r="AC60" s="4"/>
    </row>
    <row r="61" spans="1:29" s="2" customFormat="1" x14ac:dyDescent="0.3">
      <c r="A61" s="73" t="s">
        <v>352</v>
      </c>
      <c r="B61" s="74">
        <v>46098</v>
      </c>
      <c r="C61" s="75">
        <v>1</v>
      </c>
      <c r="D61" s="75">
        <v>0</v>
      </c>
      <c r="E61" s="73" t="s">
        <v>353</v>
      </c>
      <c r="F61" s="73" t="s">
        <v>200</v>
      </c>
      <c r="G61" s="73" t="s">
        <v>55</v>
      </c>
      <c r="H61" s="73" t="s">
        <v>33</v>
      </c>
      <c r="I61" s="73" t="s">
        <v>20</v>
      </c>
      <c r="J61" s="73" t="s">
        <v>12</v>
      </c>
      <c r="K61" s="73" t="s">
        <v>354</v>
      </c>
      <c r="L61" s="4"/>
      <c r="M61" s="4"/>
      <c r="N61" s="4"/>
      <c r="O61" s="4"/>
      <c r="P61" s="4"/>
      <c r="Q61" s="4"/>
      <c r="R61" s="3"/>
      <c r="S61" s="3"/>
      <c r="T61" s="4"/>
      <c r="U61" s="4"/>
      <c r="V61" s="4"/>
      <c r="W61" s="4"/>
      <c r="X61" s="4"/>
      <c r="Y61" s="4"/>
      <c r="Z61" s="4"/>
      <c r="AA61" s="4"/>
      <c r="AB61" s="4"/>
      <c r="AC61" s="4"/>
    </row>
    <row r="62" spans="1:29" s="2" customFormat="1" x14ac:dyDescent="0.3">
      <c r="A62" s="73" t="s">
        <v>355</v>
      </c>
      <c r="B62" s="74">
        <v>46099</v>
      </c>
      <c r="C62" s="75">
        <v>1</v>
      </c>
      <c r="D62" s="75">
        <v>0</v>
      </c>
      <c r="E62" s="73" t="s">
        <v>356</v>
      </c>
      <c r="F62" s="73" t="s">
        <v>98</v>
      </c>
      <c r="G62" s="73" t="s">
        <v>55</v>
      </c>
      <c r="H62" s="73" t="s">
        <v>17</v>
      </c>
      <c r="I62" s="73" t="s">
        <v>20</v>
      </c>
      <c r="J62" s="73" t="s">
        <v>70</v>
      </c>
      <c r="K62" s="73" t="s">
        <v>33</v>
      </c>
      <c r="L62" s="4"/>
      <c r="M62" s="4"/>
      <c r="N62" s="4"/>
      <c r="O62" s="4"/>
      <c r="P62" s="4"/>
      <c r="Q62" s="4"/>
      <c r="R62" s="3"/>
      <c r="S62" s="3"/>
      <c r="T62" s="4"/>
      <c r="U62" s="4"/>
      <c r="V62" s="4"/>
      <c r="W62" s="4"/>
      <c r="X62" s="4"/>
      <c r="Y62" s="4"/>
      <c r="Z62" s="4"/>
      <c r="AA62" s="4"/>
      <c r="AB62" s="4"/>
      <c r="AC62" s="4"/>
    </row>
    <row r="63" spans="1:29" s="2" customFormat="1" x14ac:dyDescent="0.3">
      <c r="A63" s="73" t="s">
        <v>357</v>
      </c>
      <c r="B63" s="74">
        <v>46099</v>
      </c>
      <c r="C63" s="75">
        <v>1</v>
      </c>
      <c r="D63" s="75">
        <v>0</v>
      </c>
      <c r="E63" s="73" t="s">
        <v>40</v>
      </c>
      <c r="F63" s="73" t="s">
        <v>98</v>
      </c>
      <c r="G63" s="73" t="s">
        <v>55</v>
      </c>
      <c r="H63" s="73" t="s">
        <v>17</v>
      </c>
      <c r="I63" s="73" t="s">
        <v>20</v>
      </c>
      <c r="J63" s="73" t="s">
        <v>70</v>
      </c>
      <c r="K63" s="73" t="s">
        <v>48</v>
      </c>
      <c r="L63" s="4"/>
      <c r="M63" s="4"/>
      <c r="N63" s="4"/>
      <c r="O63" s="4"/>
      <c r="P63" s="4"/>
      <c r="Q63" s="4"/>
      <c r="R63" s="3"/>
      <c r="S63" s="3"/>
      <c r="T63" s="4"/>
      <c r="U63" s="4"/>
      <c r="V63" s="4"/>
      <c r="W63" s="4"/>
      <c r="X63" s="4"/>
      <c r="Y63" s="4"/>
      <c r="Z63" s="4"/>
      <c r="AA63" s="4"/>
      <c r="AB63" s="4"/>
      <c r="AC63" s="4"/>
    </row>
    <row r="64" spans="1:29" s="2" customFormat="1" x14ac:dyDescent="0.3">
      <c r="A64" s="77"/>
      <c r="B64" s="78"/>
      <c r="C64" s="79"/>
      <c r="D64" s="79"/>
      <c r="E64" s="77"/>
      <c r="F64" s="77"/>
      <c r="G64" s="77"/>
      <c r="H64" s="77"/>
      <c r="I64" s="77"/>
      <c r="J64" s="77"/>
      <c r="K64" s="77"/>
      <c r="L64" s="4"/>
      <c r="M64" s="4"/>
      <c r="N64" s="4"/>
      <c r="O64" s="4"/>
      <c r="P64" s="4"/>
      <c r="Q64" s="4"/>
      <c r="R64" s="3"/>
      <c r="S64" s="3"/>
      <c r="T64" s="4"/>
      <c r="U64" s="4"/>
      <c r="V64" s="4"/>
      <c r="W64" s="4"/>
      <c r="X64" s="4"/>
      <c r="Y64" s="4"/>
      <c r="Z64" s="4"/>
      <c r="AA64" s="4"/>
      <c r="AB64" s="4"/>
      <c r="AC64" s="4"/>
    </row>
    <row r="65" spans="1:29" s="2" customFormat="1" ht="15" thickBot="1" x14ac:dyDescent="0.35">
      <c r="A65" s="77"/>
      <c r="B65" s="78"/>
      <c r="C65" s="79"/>
      <c r="D65" s="79"/>
      <c r="E65" s="77"/>
      <c r="F65" s="77"/>
      <c r="G65" s="77"/>
      <c r="H65" s="77"/>
      <c r="I65" s="77"/>
      <c r="J65" s="77"/>
      <c r="K65" s="77"/>
      <c r="L65" s="4"/>
      <c r="M65" s="4"/>
      <c r="N65" s="4"/>
      <c r="O65" s="4"/>
      <c r="P65" s="4"/>
      <c r="Q65" s="4"/>
      <c r="R65" s="3"/>
      <c r="S65" s="3"/>
      <c r="T65" s="4"/>
      <c r="U65" s="4"/>
      <c r="V65" s="4"/>
      <c r="W65" s="4"/>
      <c r="X65" s="4"/>
      <c r="Y65" s="4"/>
      <c r="Z65" s="4"/>
      <c r="AA65" s="4"/>
      <c r="AB65" s="4"/>
      <c r="AC65" s="4"/>
    </row>
    <row r="66" spans="1:29" ht="15" thickBot="1" x14ac:dyDescent="0.35">
      <c r="B66" s="38" t="s">
        <v>266</v>
      </c>
      <c r="C66" s="22">
        <v>10</v>
      </c>
    </row>
  </sheetData>
  <autoFilter ref="A3:J26" xr:uid="{6E392464-0CD5-4B6C-9B5A-A4EF4B03C567}">
    <sortState xmlns:xlrd2="http://schemas.microsoft.com/office/spreadsheetml/2017/richdata2" ref="A4:J36">
      <sortCondition ref="B3:B26"/>
    </sortState>
  </autoFilter>
  <conditionalFormatting sqref="F1:F39">
    <cfRule type="cellIs" dxfId="178" priority="19" operator="equal">
      <formula>"Non-Billable"</formula>
    </cfRule>
    <cfRule type="cellIs" dxfId="177" priority="20" operator="equal">
      <formula>"Billable"</formula>
    </cfRule>
  </conditionalFormatting>
  <conditionalFormatting sqref="F40">
    <cfRule type="cellIs" dxfId="176" priority="68" operator="equal">
      <formula>"Not Accepting Application"</formula>
    </cfRule>
    <cfRule type="cellIs" dxfId="175" priority="69" operator="equal">
      <formula>"Y"</formula>
    </cfRule>
  </conditionalFormatting>
  <conditionalFormatting sqref="F42:F1048576">
    <cfRule type="cellIs" dxfId="174" priority="1" operator="equal">
      <formula>"Non-Billable"</formula>
    </cfRule>
    <cfRule type="cellIs" dxfId="173" priority="2" operator="equal">
      <formula>"Billable"</formula>
    </cfRule>
  </conditionalFormatting>
  <conditionalFormatting sqref="H1:H2 H4:H39 F40 H41:H43 H45:H51 H53:H1048576">
    <cfRule type="cellIs" dxfId="172" priority="66" operator="equal">
      <formula>"Not accpeting applications"</formula>
    </cfRule>
  </conditionalFormatting>
  <conditionalFormatting sqref="H1:H2 H4:H39 H41:H43 H45:H51 AG53:AG66 H53:H1048576">
    <cfRule type="cellIs" dxfId="171" priority="65" operator="equal">
      <formula>"Not Accepting Applications"</formula>
    </cfRule>
  </conditionalFormatting>
  <conditionalFormatting sqref="H4:H39">
    <cfRule type="cellIs" dxfId="170" priority="67" operator="equal">
      <formula>"Accepting Applications"</formula>
    </cfRule>
  </conditionalFormatting>
  <conditionalFormatting sqref="H45:H46">
    <cfRule type="cellIs" dxfId="169" priority="70" operator="equal">
      <formula>"Not Accepting Application"</formula>
    </cfRule>
    <cfRule type="cellIs" dxfId="168" priority="71" operator="equal">
      <formula>"Accepting Applications"</formula>
    </cfRule>
    <cfRule type="cellIs" dxfId="167" priority="72" operator="equal">
      <formula>"Y"</formula>
    </cfRule>
  </conditionalFormatting>
  <conditionalFormatting sqref="H55">
    <cfRule type="cellIs" dxfId="166" priority="61" operator="equal">
      <formula>"Accepting Applications"</formula>
    </cfRule>
  </conditionalFormatting>
  <conditionalFormatting sqref="I1:I39 F40:G40 I42:I1048576">
    <cfRule type="cellIs" dxfId="165" priority="63" operator="equal">
      <formula>"Accepting Applications"</formula>
    </cfRule>
    <cfRule type="cellIs" dxfId="164" priority="64" operator="equal">
      <formula>"Not Accepting Applications"</formula>
    </cfRule>
  </conditionalFormatting>
  <conditionalFormatting sqref="I1:I39 G40 I42:I1048576">
    <cfRule type="cellIs" dxfId="163" priority="62" operator="equal">
      <formula>"Pending"</formula>
    </cfRule>
  </conditionalFormatting>
  <pageMargins left="0.7" right="0.7" top="0.75" bottom="0.75" header="0.3" footer="0.3"/>
  <pageSetup orientation="landscape"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14BC2-4496-4C60-AB01-25154D5C12AC}">
  <sheetPr>
    <tabColor theme="2" tint="-0.499984740745262"/>
  </sheetPr>
  <dimension ref="A1:AC60"/>
  <sheetViews>
    <sheetView showGridLines="0" topLeftCell="A19" zoomScale="80" zoomScaleNormal="80" workbookViewId="0">
      <selection activeCell="F19" sqref="F19"/>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0.33333333333333331</v>
      </c>
      <c r="B1" s="37">
        <v>46097</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73" t="s">
        <v>74</v>
      </c>
      <c r="B4" s="74">
        <v>46076</v>
      </c>
      <c r="C4" s="75">
        <v>1</v>
      </c>
      <c r="D4" s="75">
        <v>0</v>
      </c>
      <c r="E4" s="73" t="s">
        <v>75</v>
      </c>
      <c r="F4" s="73" t="s">
        <v>98</v>
      </c>
      <c r="G4" s="73" t="s">
        <v>7</v>
      </c>
      <c r="H4" s="73" t="s">
        <v>76</v>
      </c>
      <c r="I4" s="73" t="s">
        <v>9</v>
      </c>
      <c r="J4" s="73" t="s">
        <v>77</v>
      </c>
      <c r="K4" s="73" t="s">
        <v>13</v>
      </c>
      <c r="AB4" s="2" t="s">
        <v>10</v>
      </c>
      <c r="AC4" s="2" t="s">
        <v>11</v>
      </c>
    </row>
    <row r="5" spans="1:29" s="2" customFormat="1" x14ac:dyDescent="0.3">
      <c r="A5" s="73" t="s">
        <v>128</v>
      </c>
      <c r="B5" s="74">
        <v>46035</v>
      </c>
      <c r="C5" s="75">
        <v>1</v>
      </c>
      <c r="D5" s="75">
        <v>0</v>
      </c>
      <c r="E5" s="73" t="s">
        <v>129</v>
      </c>
      <c r="F5" s="73" t="s">
        <v>200</v>
      </c>
      <c r="G5" s="73" t="s">
        <v>7</v>
      </c>
      <c r="H5" s="73" t="s">
        <v>64</v>
      </c>
      <c r="I5" s="73" t="s">
        <v>9</v>
      </c>
      <c r="J5" s="73" t="s">
        <v>65</v>
      </c>
      <c r="K5" s="73" t="s">
        <v>48</v>
      </c>
      <c r="AB5" s="2" t="s">
        <v>14</v>
      </c>
      <c r="AC5" s="2">
        <v>17</v>
      </c>
    </row>
    <row r="6" spans="1:29" s="2" customFormat="1" x14ac:dyDescent="0.3">
      <c r="A6" s="73" t="s">
        <v>157</v>
      </c>
      <c r="B6" s="74">
        <v>46063</v>
      </c>
      <c r="C6" s="75">
        <v>1</v>
      </c>
      <c r="D6" s="75">
        <v>0</v>
      </c>
      <c r="E6" s="73" t="s">
        <v>158</v>
      </c>
      <c r="F6" s="73" t="s">
        <v>98</v>
      </c>
      <c r="G6" s="73" t="s">
        <v>7</v>
      </c>
      <c r="H6" s="73" t="s">
        <v>17</v>
      </c>
      <c r="I6" s="73" t="s">
        <v>9</v>
      </c>
      <c r="J6" s="73" t="s">
        <v>159</v>
      </c>
      <c r="K6" s="73" t="s">
        <v>28</v>
      </c>
      <c r="N6" s="10"/>
      <c r="AB6" s="2" t="s">
        <v>15</v>
      </c>
      <c r="AC6" s="2">
        <v>3</v>
      </c>
    </row>
    <row r="7" spans="1:29" s="2" customFormat="1" x14ac:dyDescent="0.3">
      <c r="A7" s="73" t="s">
        <v>209</v>
      </c>
      <c r="B7" s="74">
        <v>46063</v>
      </c>
      <c r="C7" s="75">
        <v>1</v>
      </c>
      <c r="D7" s="75">
        <v>0</v>
      </c>
      <c r="E7" s="73" t="s">
        <v>210</v>
      </c>
      <c r="F7" s="73" t="s">
        <v>98</v>
      </c>
      <c r="G7" s="73" t="s">
        <v>7</v>
      </c>
      <c r="H7" s="73" t="s">
        <v>17</v>
      </c>
      <c r="I7" s="73" t="s">
        <v>9</v>
      </c>
      <c r="J7" s="73" t="s">
        <v>206</v>
      </c>
      <c r="K7" s="73" t="s">
        <v>13</v>
      </c>
    </row>
    <row r="8" spans="1:29" s="2" customFormat="1" x14ac:dyDescent="0.3">
      <c r="A8" s="73" t="s">
        <v>221</v>
      </c>
      <c r="B8" s="74">
        <v>46085</v>
      </c>
      <c r="C8" s="75">
        <v>2</v>
      </c>
      <c r="D8" s="75">
        <v>0</v>
      </c>
      <c r="E8" s="73" t="s">
        <v>201</v>
      </c>
      <c r="F8" s="73" t="s">
        <v>200</v>
      </c>
      <c r="G8" s="73" t="s">
        <v>7</v>
      </c>
      <c r="H8" s="73" t="s">
        <v>312</v>
      </c>
      <c r="I8" s="73" t="s">
        <v>9</v>
      </c>
      <c r="J8" s="73" t="s">
        <v>105</v>
      </c>
      <c r="K8" s="73" t="s">
        <v>43</v>
      </c>
    </row>
    <row r="9" spans="1:29" s="2" customFormat="1" x14ac:dyDescent="0.3">
      <c r="A9" s="73" t="s">
        <v>222</v>
      </c>
      <c r="B9" s="74">
        <v>46079</v>
      </c>
      <c r="C9" s="75">
        <v>1</v>
      </c>
      <c r="D9" s="75">
        <v>0</v>
      </c>
      <c r="E9" s="73" t="s">
        <v>223</v>
      </c>
      <c r="F9" s="73" t="s">
        <v>200</v>
      </c>
      <c r="G9" s="73" t="s">
        <v>7</v>
      </c>
      <c r="H9" s="73" t="s">
        <v>305</v>
      </c>
      <c r="I9" s="73" t="s">
        <v>9</v>
      </c>
      <c r="J9" s="73" t="s">
        <v>180</v>
      </c>
      <c r="K9" s="73" t="s">
        <v>13</v>
      </c>
    </row>
    <row r="10" spans="1:29" s="2" customFormat="1" x14ac:dyDescent="0.3">
      <c r="A10" s="73" t="s">
        <v>226</v>
      </c>
      <c r="B10" s="74">
        <v>46079</v>
      </c>
      <c r="C10" s="75">
        <v>2</v>
      </c>
      <c r="D10" s="75">
        <v>1</v>
      </c>
      <c r="E10" s="73" t="s">
        <v>227</v>
      </c>
      <c r="F10" s="73" t="s">
        <v>200</v>
      </c>
      <c r="G10" s="73" t="s">
        <v>7</v>
      </c>
      <c r="H10" s="73" t="s">
        <v>306</v>
      </c>
      <c r="I10" s="73" t="s">
        <v>9</v>
      </c>
      <c r="J10" s="73" t="s">
        <v>180</v>
      </c>
      <c r="K10" s="73" t="s">
        <v>13</v>
      </c>
    </row>
    <row r="11" spans="1:29" s="2" customFormat="1" x14ac:dyDescent="0.3">
      <c r="A11" s="73" t="s">
        <v>228</v>
      </c>
      <c r="B11" s="74">
        <v>46085</v>
      </c>
      <c r="C11" s="75">
        <v>1</v>
      </c>
      <c r="D11" s="75">
        <v>0</v>
      </c>
      <c r="E11" s="73" t="s">
        <v>30</v>
      </c>
      <c r="F11" s="73" t="s">
        <v>200</v>
      </c>
      <c r="G11" s="73" t="s">
        <v>7</v>
      </c>
      <c r="H11" s="73" t="s">
        <v>313</v>
      </c>
      <c r="I11" s="73" t="s">
        <v>9</v>
      </c>
      <c r="J11" s="73" t="s">
        <v>12</v>
      </c>
      <c r="K11" s="73" t="s">
        <v>24</v>
      </c>
    </row>
    <row r="12" spans="1:29" s="2" customFormat="1" x14ac:dyDescent="0.3">
      <c r="A12" s="73" t="s">
        <v>229</v>
      </c>
      <c r="B12" s="74">
        <v>46065</v>
      </c>
      <c r="C12" s="75">
        <v>3</v>
      </c>
      <c r="D12" s="75">
        <v>2</v>
      </c>
      <c r="E12" s="73" t="s">
        <v>45</v>
      </c>
      <c r="F12" s="73" t="s">
        <v>200</v>
      </c>
      <c r="G12" s="73" t="s">
        <v>7</v>
      </c>
      <c r="H12" s="73" t="s">
        <v>272</v>
      </c>
      <c r="I12" s="73" t="s">
        <v>20</v>
      </c>
      <c r="J12" s="73" t="s">
        <v>121</v>
      </c>
      <c r="K12" s="73" t="s">
        <v>13</v>
      </c>
    </row>
    <row r="13" spans="1:29" s="2" customFormat="1" x14ac:dyDescent="0.3">
      <c r="A13" s="73" t="s">
        <v>230</v>
      </c>
      <c r="B13" s="74">
        <v>46094</v>
      </c>
      <c r="C13" s="75">
        <v>1</v>
      </c>
      <c r="D13" s="75">
        <v>0</v>
      </c>
      <c r="E13" s="73" t="s">
        <v>263</v>
      </c>
      <c r="F13" s="73" t="s">
        <v>98</v>
      </c>
      <c r="G13" s="73" t="s">
        <v>7</v>
      </c>
      <c r="H13" s="73" t="s">
        <v>23</v>
      </c>
      <c r="I13" s="73" t="s">
        <v>9</v>
      </c>
      <c r="J13" s="73" t="s">
        <v>12</v>
      </c>
      <c r="K13" s="73" t="s">
        <v>24</v>
      </c>
    </row>
    <row r="14" spans="1:29" s="2" customFormat="1" x14ac:dyDescent="0.3">
      <c r="A14" s="73" t="s">
        <v>234</v>
      </c>
      <c r="B14" s="74">
        <v>46056</v>
      </c>
      <c r="C14" s="75">
        <v>30</v>
      </c>
      <c r="D14" s="75">
        <v>12</v>
      </c>
      <c r="E14" s="73" t="s">
        <v>45</v>
      </c>
      <c r="F14" s="73" t="s">
        <v>200</v>
      </c>
      <c r="G14" s="73" t="s">
        <v>7</v>
      </c>
      <c r="H14" s="73" t="s">
        <v>259</v>
      </c>
      <c r="I14" s="73" t="s">
        <v>20</v>
      </c>
      <c r="J14" s="73" t="s">
        <v>49</v>
      </c>
      <c r="K14" s="73" t="s">
        <v>91</v>
      </c>
    </row>
    <row r="15" spans="1:29" s="2" customFormat="1" x14ac:dyDescent="0.3">
      <c r="A15" s="73" t="s">
        <v>243</v>
      </c>
      <c r="B15" s="74">
        <v>46085</v>
      </c>
      <c r="C15" s="75">
        <v>1</v>
      </c>
      <c r="D15" s="75">
        <v>0</v>
      </c>
      <c r="E15" s="73" t="s">
        <v>244</v>
      </c>
      <c r="F15" s="73" t="s">
        <v>98</v>
      </c>
      <c r="G15" s="73" t="s">
        <v>7</v>
      </c>
      <c r="H15" s="73" t="s">
        <v>33</v>
      </c>
      <c r="I15" s="73" t="s">
        <v>20</v>
      </c>
      <c r="J15" s="73" t="s">
        <v>103</v>
      </c>
      <c r="K15" s="73" t="s">
        <v>21</v>
      </c>
    </row>
    <row r="16" spans="1:29" s="2" customFormat="1" x14ac:dyDescent="0.3">
      <c r="A16" s="73" t="s">
        <v>246</v>
      </c>
      <c r="B16" s="74">
        <v>46091</v>
      </c>
      <c r="C16" s="75">
        <v>1</v>
      </c>
      <c r="D16" s="75">
        <v>0</v>
      </c>
      <c r="E16" s="73" t="s">
        <v>232</v>
      </c>
      <c r="F16" s="73" t="s">
        <v>200</v>
      </c>
      <c r="G16" s="73" t="s">
        <v>7</v>
      </c>
      <c r="H16" s="73" t="s">
        <v>64</v>
      </c>
      <c r="I16" s="73" t="s">
        <v>9</v>
      </c>
      <c r="J16" s="73" t="s">
        <v>65</v>
      </c>
      <c r="K16" s="73" t="s">
        <v>48</v>
      </c>
    </row>
    <row r="17" spans="1:11" s="2" customFormat="1" ht="15" customHeight="1" x14ac:dyDescent="0.3">
      <c r="A17" s="73" t="s">
        <v>247</v>
      </c>
      <c r="B17" s="74">
        <v>46094</v>
      </c>
      <c r="C17" s="75">
        <v>1</v>
      </c>
      <c r="D17" s="75">
        <v>0</v>
      </c>
      <c r="E17" s="73" t="s">
        <v>120</v>
      </c>
      <c r="F17" s="73" t="s">
        <v>200</v>
      </c>
      <c r="G17" s="73" t="s">
        <v>7</v>
      </c>
      <c r="H17" s="73" t="s">
        <v>18</v>
      </c>
      <c r="I17" s="73" t="s">
        <v>56</v>
      </c>
      <c r="J17" s="73" t="s">
        <v>248</v>
      </c>
      <c r="K17" s="73" t="s">
        <v>43</v>
      </c>
    </row>
    <row r="18" spans="1:11" s="2" customFormat="1" ht="13.95" customHeight="1" x14ac:dyDescent="0.3">
      <c r="A18" s="73" t="s">
        <v>249</v>
      </c>
      <c r="B18" s="74">
        <v>46076</v>
      </c>
      <c r="C18" s="75">
        <v>2</v>
      </c>
      <c r="D18" s="75">
        <v>0</v>
      </c>
      <c r="E18" s="73" t="s">
        <v>45</v>
      </c>
      <c r="F18" s="73" t="s">
        <v>200</v>
      </c>
      <c r="G18" s="73" t="s">
        <v>7</v>
      </c>
      <c r="H18" s="73" t="s">
        <v>27</v>
      </c>
      <c r="I18" s="73" t="s">
        <v>20</v>
      </c>
      <c r="J18" s="73" t="s">
        <v>121</v>
      </c>
      <c r="K18" s="73" t="s">
        <v>13</v>
      </c>
    </row>
    <row r="19" spans="1:11" s="2" customFormat="1" x14ac:dyDescent="0.3">
      <c r="A19" s="73" t="s">
        <v>253</v>
      </c>
      <c r="B19" s="74">
        <v>46069</v>
      </c>
      <c r="C19" s="75">
        <v>1</v>
      </c>
      <c r="D19" s="75">
        <v>0</v>
      </c>
      <c r="E19" s="73" t="s">
        <v>244</v>
      </c>
      <c r="F19" s="73" t="s">
        <v>98</v>
      </c>
      <c r="G19" s="73" t="s">
        <v>7</v>
      </c>
      <c r="H19" s="73" t="s">
        <v>33</v>
      </c>
      <c r="I19" s="73" t="s">
        <v>20</v>
      </c>
      <c r="J19" s="73" t="s">
        <v>103</v>
      </c>
      <c r="K19" s="73" t="s">
        <v>21</v>
      </c>
    </row>
    <row r="20" spans="1:11" s="2" customFormat="1" x14ac:dyDescent="0.3">
      <c r="A20" s="73" t="s">
        <v>267</v>
      </c>
      <c r="B20" s="74">
        <v>46077</v>
      </c>
      <c r="C20" s="75">
        <v>1</v>
      </c>
      <c r="D20" s="75">
        <v>0</v>
      </c>
      <c r="E20" s="73" t="s">
        <v>268</v>
      </c>
      <c r="F20" s="73" t="s">
        <v>98</v>
      </c>
      <c r="G20" s="73" t="s">
        <v>7</v>
      </c>
      <c r="H20" s="73" t="s">
        <v>27</v>
      </c>
      <c r="I20" s="73" t="s">
        <v>9</v>
      </c>
      <c r="J20" s="73" t="s">
        <v>269</v>
      </c>
      <c r="K20" s="73" t="s">
        <v>22</v>
      </c>
    </row>
    <row r="21" spans="1:11" s="2" customFormat="1" x14ac:dyDescent="0.3">
      <c r="A21" s="73" t="s">
        <v>270</v>
      </c>
      <c r="B21" s="74">
        <v>46079</v>
      </c>
      <c r="C21" s="75">
        <v>1</v>
      </c>
      <c r="D21" s="75">
        <v>0</v>
      </c>
      <c r="E21" s="73" t="s">
        <v>25</v>
      </c>
      <c r="F21" s="73" t="s">
        <v>200</v>
      </c>
      <c r="G21" s="73" t="s">
        <v>7</v>
      </c>
      <c r="H21" s="73" t="s">
        <v>64</v>
      </c>
      <c r="I21" s="73" t="s">
        <v>9</v>
      </c>
      <c r="J21" s="73" t="s">
        <v>271</v>
      </c>
      <c r="K21" s="73" t="s">
        <v>19</v>
      </c>
    </row>
    <row r="22" spans="1:11" s="2" customFormat="1" ht="15" customHeight="1" x14ac:dyDescent="0.3">
      <c r="A22" s="73" t="s">
        <v>277</v>
      </c>
      <c r="B22" s="74">
        <v>46076</v>
      </c>
      <c r="C22" s="75">
        <v>1</v>
      </c>
      <c r="D22" s="75">
        <v>0</v>
      </c>
      <c r="E22" s="73" t="s">
        <v>283</v>
      </c>
      <c r="F22" s="73" t="s">
        <v>98</v>
      </c>
      <c r="G22" s="73" t="s">
        <v>7</v>
      </c>
      <c r="H22" s="73" t="s">
        <v>47</v>
      </c>
      <c r="I22" s="73" t="s">
        <v>9</v>
      </c>
      <c r="J22" s="73" t="s">
        <v>134</v>
      </c>
      <c r="K22" s="73" t="s">
        <v>13</v>
      </c>
    </row>
    <row r="23" spans="1:11" s="2" customFormat="1" x14ac:dyDescent="0.3">
      <c r="A23" s="73" t="s">
        <v>284</v>
      </c>
      <c r="B23" s="74">
        <v>46085</v>
      </c>
      <c r="C23" s="75">
        <v>1</v>
      </c>
      <c r="D23" s="75">
        <v>0</v>
      </c>
      <c r="E23" s="73" t="s">
        <v>285</v>
      </c>
      <c r="F23" s="73" t="s">
        <v>98</v>
      </c>
      <c r="G23" s="73" t="s">
        <v>7</v>
      </c>
      <c r="H23" s="73" t="s">
        <v>315</v>
      </c>
      <c r="I23" s="73" t="s">
        <v>9</v>
      </c>
      <c r="J23" s="73" t="s">
        <v>286</v>
      </c>
      <c r="K23" s="73" t="s">
        <v>287</v>
      </c>
    </row>
    <row r="24" spans="1:11" s="2" customFormat="1" x14ac:dyDescent="0.3">
      <c r="A24" s="73" t="s">
        <v>288</v>
      </c>
      <c r="B24" s="74">
        <v>46092</v>
      </c>
      <c r="C24" s="75">
        <v>1</v>
      </c>
      <c r="D24" s="75">
        <v>0</v>
      </c>
      <c r="E24" s="73" t="s">
        <v>40</v>
      </c>
      <c r="F24" s="73" t="s">
        <v>98</v>
      </c>
      <c r="G24" s="73" t="s">
        <v>7</v>
      </c>
      <c r="H24" s="73" t="s">
        <v>33</v>
      </c>
      <c r="I24" s="73" t="s">
        <v>20</v>
      </c>
      <c r="J24" s="73" t="s">
        <v>165</v>
      </c>
      <c r="K24" s="73" t="s">
        <v>13</v>
      </c>
    </row>
    <row r="25" spans="1:11" s="2" customFormat="1" x14ac:dyDescent="0.3">
      <c r="A25" s="73" t="s">
        <v>291</v>
      </c>
      <c r="B25" s="74">
        <v>46078</v>
      </c>
      <c r="C25" s="75">
        <v>1</v>
      </c>
      <c r="D25" s="75">
        <v>0</v>
      </c>
      <c r="E25" s="73" t="s">
        <v>292</v>
      </c>
      <c r="F25" s="73" t="s">
        <v>98</v>
      </c>
      <c r="G25" s="73" t="s">
        <v>7</v>
      </c>
      <c r="H25" s="73" t="s">
        <v>44</v>
      </c>
      <c r="I25" s="73" t="s">
        <v>9</v>
      </c>
      <c r="J25" s="73" t="s">
        <v>95</v>
      </c>
      <c r="K25" s="73" t="s">
        <v>13</v>
      </c>
    </row>
    <row r="26" spans="1:11" s="2" customFormat="1" x14ac:dyDescent="0.3">
      <c r="A26" s="73" t="s">
        <v>299</v>
      </c>
      <c r="B26" s="74">
        <v>46085</v>
      </c>
      <c r="C26" s="75">
        <v>1</v>
      </c>
      <c r="D26" s="75">
        <v>0</v>
      </c>
      <c r="E26" s="73" t="s">
        <v>46</v>
      </c>
      <c r="F26" s="73" t="s">
        <v>200</v>
      </c>
      <c r="G26" s="73" t="s">
        <v>7</v>
      </c>
      <c r="H26" s="73" t="s">
        <v>27</v>
      </c>
      <c r="I26" s="73" t="s">
        <v>9</v>
      </c>
      <c r="J26" s="73" t="s">
        <v>49</v>
      </c>
      <c r="K26" s="73" t="s">
        <v>48</v>
      </c>
    </row>
    <row r="27" spans="1:11" s="2" customFormat="1" x14ac:dyDescent="0.3">
      <c r="A27" s="73" t="s">
        <v>300</v>
      </c>
      <c r="B27" s="74">
        <v>46086</v>
      </c>
      <c r="C27" s="75">
        <v>1</v>
      </c>
      <c r="D27" s="75">
        <v>0</v>
      </c>
      <c r="E27" s="73" t="s">
        <v>301</v>
      </c>
      <c r="F27" s="73" t="s">
        <v>200</v>
      </c>
      <c r="G27" s="73" t="s">
        <v>7</v>
      </c>
      <c r="H27" s="73" t="s">
        <v>23</v>
      </c>
      <c r="I27" s="73" t="s">
        <v>9</v>
      </c>
      <c r="J27" s="73" t="s">
        <v>302</v>
      </c>
      <c r="K27" s="73" t="s">
        <v>91</v>
      </c>
    </row>
    <row r="28" spans="1:11" s="2" customFormat="1" ht="13.95" customHeight="1" x14ac:dyDescent="0.3">
      <c r="A28" s="73" t="s">
        <v>303</v>
      </c>
      <c r="B28" s="74">
        <v>46084</v>
      </c>
      <c r="C28" s="75">
        <v>1</v>
      </c>
      <c r="D28" s="75">
        <v>0</v>
      </c>
      <c r="E28" s="73" t="s">
        <v>240</v>
      </c>
      <c r="F28" s="73" t="s">
        <v>98</v>
      </c>
      <c r="G28" s="73" t="s">
        <v>7</v>
      </c>
      <c r="H28" s="73" t="s">
        <v>316</v>
      </c>
      <c r="I28" s="73" t="s">
        <v>20</v>
      </c>
      <c r="J28" s="73" t="s">
        <v>186</v>
      </c>
      <c r="K28" s="73" t="s">
        <v>194</v>
      </c>
    </row>
    <row r="29" spans="1:11" s="2" customFormat="1" ht="14.25" customHeight="1" x14ac:dyDescent="0.3">
      <c r="A29" s="73" t="s">
        <v>304</v>
      </c>
      <c r="B29" s="74">
        <v>46091</v>
      </c>
      <c r="C29" s="75">
        <v>1</v>
      </c>
      <c r="D29" s="75">
        <v>0</v>
      </c>
      <c r="E29" s="73" t="s">
        <v>136</v>
      </c>
      <c r="F29" s="73" t="s">
        <v>200</v>
      </c>
      <c r="G29" s="73" t="s">
        <v>7</v>
      </c>
      <c r="H29" s="73" t="s">
        <v>18</v>
      </c>
      <c r="I29" s="73" t="s">
        <v>56</v>
      </c>
      <c r="J29" s="73" t="s">
        <v>137</v>
      </c>
      <c r="K29" s="73" t="s">
        <v>13</v>
      </c>
    </row>
    <row r="30" spans="1:11" s="2" customFormat="1" ht="14.25" customHeight="1" x14ac:dyDescent="0.3">
      <c r="A30" s="73" t="s">
        <v>307</v>
      </c>
      <c r="B30" s="74">
        <v>46085</v>
      </c>
      <c r="C30" s="75">
        <v>1</v>
      </c>
      <c r="D30" s="75">
        <v>0</v>
      </c>
      <c r="E30" s="73" t="s">
        <v>29</v>
      </c>
      <c r="F30" s="73" t="s">
        <v>200</v>
      </c>
      <c r="G30" s="73" t="s">
        <v>7</v>
      </c>
      <c r="H30" s="73" t="s">
        <v>33</v>
      </c>
      <c r="I30" s="73" t="s">
        <v>20</v>
      </c>
      <c r="J30" s="73" t="s">
        <v>33</v>
      </c>
      <c r="K30" s="73" t="s">
        <v>308</v>
      </c>
    </row>
    <row r="31" spans="1:11" s="2" customFormat="1" ht="14.25" customHeight="1" x14ac:dyDescent="0.3">
      <c r="A31" s="73" t="s">
        <v>317</v>
      </c>
      <c r="B31" s="74">
        <v>46092</v>
      </c>
      <c r="C31" s="75">
        <v>1</v>
      </c>
      <c r="D31" s="75">
        <v>0</v>
      </c>
      <c r="E31" s="73" t="s">
        <v>318</v>
      </c>
      <c r="F31" s="73" t="s">
        <v>98</v>
      </c>
      <c r="G31" s="73" t="s">
        <v>7</v>
      </c>
      <c r="H31" s="73" t="s">
        <v>18</v>
      </c>
      <c r="I31" s="73" t="s">
        <v>56</v>
      </c>
      <c r="J31" s="73" t="s">
        <v>42</v>
      </c>
      <c r="K31" s="73" t="s">
        <v>311</v>
      </c>
    </row>
    <row r="32" spans="1:11" s="2" customFormat="1" ht="14.25" customHeight="1" x14ac:dyDescent="0.3">
      <c r="A32" s="73" t="s">
        <v>319</v>
      </c>
      <c r="B32" s="74">
        <v>46090</v>
      </c>
      <c r="C32" s="75">
        <v>1</v>
      </c>
      <c r="D32" s="75">
        <v>0</v>
      </c>
      <c r="E32" s="73" t="s">
        <v>320</v>
      </c>
      <c r="F32" s="73" t="s">
        <v>200</v>
      </c>
      <c r="G32" s="73" t="s">
        <v>7</v>
      </c>
      <c r="H32" s="73" t="s">
        <v>333</v>
      </c>
      <c r="I32" s="73" t="s">
        <v>9</v>
      </c>
      <c r="J32" s="73" t="s">
        <v>321</v>
      </c>
      <c r="K32" s="73" t="s">
        <v>13</v>
      </c>
    </row>
    <row r="33" spans="1:19" s="2" customFormat="1" ht="14.25" customHeight="1" x14ac:dyDescent="0.3">
      <c r="A33" s="73" t="s">
        <v>322</v>
      </c>
      <c r="B33" s="74">
        <v>46090</v>
      </c>
      <c r="C33" s="75">
        <v>2</v>
      </c>
      <c r="D33" s="75">
        <v>0</v>
      </c>
      <c r="E33" s="73" t="s">
        <v>334</v>
      </c>
      <c r="F33" s="73" t="s">
        <v>200</v>
      </c>
      <c r="G33" s="73" t="s">
        <v>7</v>
      </c>
      <c r="H33" s="73" t="s">
        <v>333</v>
      </c>
      <c r="I33" s="73" t="s">
        <v>9</v>
      </c>
      <c r="J33" s="73" t="s">
        <v>321</v>
      </c>
      <c r="K33" s="73" t="s">
        <v>13</v>
      </c>
    </row>
    <row r="34" spans="1:19" s="2" customFormat="1" ht="14.25" customHeight="1" x14ac:dyDescent="0.3">
      <c r="A34" s="73" t="s">
        <v>325</v>
      </c>
      <c r="B34" s="74">
        <v>46092</v>
      </c>
      <c r="C34" s="75">
        <v>1</v>
      </c>
      <c r="D34" s="75">
        <v>0</v>
      </c>
      <c r="E34" s="73" t="s">
        <v>326</v>
      </c>
      <c r="F34" s="73" t="s">
        <v>98</v>
      </c>
      <c r="G34" s="73" t="s">
        <v>7</v>
      </c>
      <c r="H34" s="73" t="s">
        <v>23</v>
      </c>
      <c r="I34" s="73" t="s">
        <v>9</v>
      </c>
      <c r="J34" s="73" t="s">
        <v>327</v>
      </c>
      <c r="K34" s="73" t="s">
        <v>328</v>
      </c>
    </row>
    <row r="35" spans="1:19" s="2" customFormat="1" ht="14.25" customHeight="1" x14ac:dyDescent="0.3">
      <c r="A35" s="73" t="s">
        <v>329</v>
      </c>
      <c r="B35" s="74">
        <v>46092</v>
      </c>
      <c r="C35" s="75">
        <v>1</v>
      </c>
      <c r="D35" s="75">
        <v>0</v>
      </c>
      <c r="E35" s="73" t="s">
        <v>107</v>
      </c>
      <c r="F35" s="73" t="s">
        <v>200</v>
      </c>
      <c r="G35" s="73" t="s">
        <v>7</v>
      </c>
      <c r="H35" s="73" t="s">
        <v>64</v>
      </c>
      <c r="I35" s="73" t="s">
        <v>9</v>
      </c>
      <c r="J35" s="73" t="s">
        <v>50</v>
      </c>
      <c r="K35" s="73" t="s">
        <v>43</v>
      </c>
    </row>
    <row r="36" spans="1:19" s="2" customFormat="1" ht="14.25" customHeight="1" x14ac:dyDescent="0.3">
      <c r="A36" s="73" t="s">
        <v>330</v>
      </c>
      <c r="B36" s="74">
        <v>46092</v>
      </c>
      <c r="C36" s="75">
        <v>1</v>
      </c>
      <c r="D36" s="75">
        <v>0</v>
      </c>
      <c r="E36" s="73" t="s">
        <v>120</v>
      </c>
      <c r="F36" s="73" t="s">
        <v>200</v>
      </c>
      <c r="G36" s="73" t="s">
        <v>7</v>
      </c>
      <c r="H36" s="73" t="s">
        <v>148</v>
      </c>
      <c r="I36" s="73" t="s">
        <v>9</v>
      </c>
      <c r="J36" s="73" t="s">
        <v>121</v>
      </c>
      <c r="K36" s="73" t="s">
        <v>13</v>
      </c>
    </row>
    <row r="37" spans="1:19" s="2" customFormat="1" ht="14.25" customHeight="1" x14ac:dyDescent="0.3">
      <c r="A37" s="73" t="s">
        <v>335</v>
      </c>
      <c r="B37" s="74">
        <v>46093</v>
      </c>
      <c r="C37" s="75">
        <v>1</v>
      </c>
      <c r="D37" s="75">
        <v>0</v>
      </c>
      <c r="E37" s="73" t="s">
        <v>336</v>
      </c>
      <c r="F37" s="73" t="s">
        <v>98</v>
      </c>
      <c r="G37" s="73" t="s">
        <v>7</v>
      </c>
      <c r="H37" s="73" t="s">
        <v>17</v>
      </c>
      <c r="I37" s="73" t="s">
        <v>9</v>
      </c>
      <c r="J37" s="73" t="s">
        <v>175</v>
      </c>
      <c r="K37" s="73" t="s">
        <v>196</v>
      </c>
    </row>
    <row r="38" spans="1:19" ht="15" thickBot="1" x14ac:dyDescent="0.35">
      <c r="A38" s="40"/>
      <c r="B38" s="41"/>
      <c r="C38" s="42"/>
      <c r="D38" s="42"/>
      <c r="E38" s="40"/>
      <c r="F38" s="40"/>
      <c r="G38" s="40"/>
      <c r="H38" s="40"/>
      <c r="I38" s="40"/>
      <c r="J38" s="40"/>
      <c r="K38" s="40"/>
      <c r="P38" s="3"/>
      <c r="Q38" s="3"/>
      <c r="R38" s="4"/>
      <c r="S38" s="4"/>
    </row>
    <row r="39" spans="1:19" ht="15" thickBot="1" x14ac:dyDescent="0.35">
      <c r="B39" s="34" t="s">
        <v>31</v>
      </c>
      <c r="C39" s="12">
        <f>SUM(C4:C37)-SUM(D4:D37)</f>
        <v>54</v>
      </c>
      <c r="D39" s="29"/>
      <c r="F39" s="35" t="s">
        <v>57</v>
      </c>
      <c r="G39" s="36">
        <f>COUNTIF(I4:I37,"Pending")</f>
        <v>3</v>
      </c>
      <c r="I39" s="38" t="s">
        <v>58</v>
      </c>
      <c r="J39" s="39">
        <f>C39-G39</f>
        <v>51</v>
      </c>
    </row>
    <row r="40" spans="1:19" x14ac:dyDescent="0.3">
      <c r="G40" s="3"/>
      <c r="H40" s="4"/>
      <c r="I40" s="3"/>
    </row>
    <row r="41" spans="1:19" hidden="1" x14ac:dyDescent="0.3">
      <c r="D41" s="13"/>
    </row>
    <row r="42" spans="1:19" s="6" customFormat="1" ht="28.8" x14ac:dyDescent="0.3">
      <c r="A42" s="28" t="s">
        <v>0</v>
      </c>
      <c r="B42" s="28" t="s">
        <v>1</v>
      </c>
      <c r="C42" s="28" t="s">
        <v>2</v>
      </c>
      <c r="D42" s="28" t="s">
        <v>3</v>
      </c>
      <c r="E42" s="28" t="s">
        <v>4</v>
      </c>
      <c r="F42" s="28" t="s">
        <v>51</v>
      </c>
      <c r="G42" s="28" t="s">
        <v>52</v>
      </c>
      <c r="H42" s="28" t="s">
        <v>5</v>
      </c>
      <c r="I42" s="28" t="s">
        <v>53</v>
      </c>
      <c r="J42" s="28" t="s">
        <v>27</v>
      </c>
      <c r="K42" s="28" t="s">
        <v>6</v>
      </c>
    </row>
    <row r="43" spans="1:19" s="18" customFormat="1" ht="15" customHeight="1" x14ac:dyDescent="0.3">
      <c r="A43" s="73" t="s">
        <v>99</v>
      </c>
      <c r="B43" s="74">
        <v>46056</v>
      </c>
      <c r="C43" s="75">
        <v>1</v>
      </c>
      <c r="D43" s="75">
        <v>0</v>
      </c>
      <c r="E43" s="73" t="s">
        <v>166</v>
      </c>
      <c r="F43" s="73" t="s">
        <v>98</v>
      </c>
      <c r="G43" s="73" t="s">
        <v>32</v>
      </c>
      <c r="H43" s="73" t="s">
        <v>44</v>
      </c>
      <c r="I43" s="73" t="s">
        <v>20</v>
      </c>
      <c r="J43" s="73" t="s">
        <v>166</v>
      </c>
      <c r="K43" s="73" t="s">
        <v>13</v>
      </c>
    </row>
    <row r="44" spans="1:19" s="18" customFormat="1" ht="15" customHeight="1" x14ac:dyDescent="0.3">
      <c r="A44" s="73" t="s">
        <v>172</v>
      </c>
      <c r="B44" s="74">
        <v>46056</v>
      </c>
      <c r="C44" s="75">
        <v>1</v>
      </c>
      <c r="D44" s="75">
        <v>0</v>
      </c>
      <c r="E44" s="73" t="s">
        <v>173</v>
      </c>
      <c r="F44" s="73" t="s">
        <v>98</v>
      </c>
      <c r="G44" s="73" t="s">
        <v>32</v>
      </c>
      <c r="H44" s="73" t="s">
        <v>33</v>
      </c>
      <c r="I44" s="73" t="s">
        <v>20</v>
      </c>
      <c r="J44" s="73" t="s">
        <v>175</v>
      </c>
      <c r="K44" s="73" t="s">
        <v>176</v>
      </c>
    </row>
    <row r="45" spans="1:19" x14ac:dyDescent="0.3">
      <c r="A45" s="73" t="s">
        <v>261</v>
      </c>
      <c r="B45" s="74">
        <v>46091</v>
      </c>
      <c r="C45" s="75">
        <v>1</v>
      </c>
      <c r="D45" s="75">
        <v>0</v>
      </c>
      <c r="E45" s="73" t="s">
        <v>262</v>
      </c>
      <c r="F45" s="73" t="s">
        <v>98</v>
      </c>
      <c r="G45" s="73" t="s">
        <v>32</v>
      </c>
      <c r="H45" s="73" t="s">
        <v>17</v>
      </c>
      <c r="I45" s="73" t="s">
        <v>20</v>
      </c>
      <c r="J45" s="73" t="s">
        <v>191</v>
      </c>
      <c r="K45" s="73" t="s">
        <v>13</v>
      </c>
    </row>
    <row r="46" spans="1:19" ht="15" thickBot="1" x14ac:dyDescent="0.35">
      <c r="A46" s="51"/>
      <c r="B46" s="52"/>
      <c r="C46" s="53"/>
      <c r="D46" s="53"/>
      <c r="E46" s="51"/>
      <c r="F46" s="51"/>
      <c r="G46" s="51"/>
      <c r="H46" s="51"/>
      <c r="I46" s="51"/>
      <c r="J46" s="51"/>
      <c r="K46" s="2"/>
    </row>
    <row r="47" spans="1:19" ht="15" thickBot="1" x14ac:dyDescent="0.35">
      <c r="B47" s="60" t="s">
        <v>34</v>
      </c>
      <c r="C47" s="61">
        <v>3</v>
      </c>
      <c r="E47" s="2"/>
      <c r="F47" s="2"/>
      <c r="H47" s="2"/>
      <c r="J47" s="2"/>
      <c r="K47" s="2"/>
    </row>
    <row r="48" spans="1:19" x14ac:dyDescent="0.3">
      <c r="E48" s="2"/>
      <c r="F48" s="2"/>
      <c r="H48" s="2"/>
      <c r="J48" s="2"/>
      <c r="K48" s="2"/>
    </row>
    <row r="49" spans="1:29" hidden="1" x14ac:dyDescent="0.3">
      <c r="E49" s="2"/>
      <c r="F49" s="2"/>
      <c r="H49" s="2"/>
      <c r="J49" s="2"/>
      <c r="K49" s="2"/>
    </row>
    <row r="50" spans="1:29" s="2" customFormat="1" ht="34.35" customHeight="1" x14ac:dyDescent="0.3">
      <c r="A50" s="62" t="s">
        <v>0</v>
      </c>
      <c r="B50" s="62" t="s">
        <v>1</v>
      </c>
      <c r="C50" s="62" t="s">
        <v>2</v>
      </c>
      <c r="D50" s="62" t="s">
        <v>3</v>
      </c>
      <c r="E50" s="62" t="s">
        <v>4</v>
      </c>
      <c r="F50" s="62" t="s">
        <v>51</v>
      </c>
      <c r="G50" s="62" t="s">
        <v>52</v>
      </c>
      <c r="H50" s="62" t="s">
        <v>5</v>
      </c>
      <c r="I50" s="62" t="s">
        <v>53</v>
      </c>
      <c r="J50" s="62" t="s">
        <v>27</v>
      </c>
      <c r="K50" s="62" t="s">
        <v>6</v>
      </c>
    </row>
    <row r="51" spans="1:29" s="2" customFormat="1" x14ac:dyDescent="0.3">
      <c r="A51" s="73" t="s">
        <v>309</v>
      </c>
      <c r="B51" s="74">
        <v>46080</v>
      </c>
      <c r="C51" s="75">
        <v>1</v>
      </c>
      <c r="D51" s="75">
        <v>0</v>
      </c>
      <c r="E51" s="73" t="s">
        <v>263</v>
      </c>
      <c r="F51" s="73" t="s">
        <v>200</v>
      </c>
      <c r="G51" s="73" t="s">
        <v>55</v>
      </c>
      <c r="H51" s="73" t="s">
        <v>8</v>
      </c>
      <c r="I51" s="73" t="s">
        <v>20</v>
      </c>
      <c r="J51" s="73" t="s">
        <v>310</v>
      </c>
      <c r="K51" s="73" t="s">
        <v>311</v>
      </c>
      <c r="L51" s="4"/>
      <c r="M51" s="4"/>
      <c r="N51" s="4"/>
      <c r="O51" s="4"/>
      <c r="P51" s="4"/>
      <c r="Q51" s="4"/>
      <c r="R51" s="3"/>
      <c r="S51" s="3"/>
      <c r="T51" s="4"/>
      <c r="U51" s="4"/>
      <c r="V51" s="4"/>
      <c r="W51" s="4"/>
      <c r="X51" s="4"/>
      <c r="Y51" s="4"/>
      <c r="Z51" s="4"/>
      <c r="AA51" s="4"/>
      <c r="AB51" s="4"/>
      <c r="AC51" s="4"/>
    </row>
    <row r="52" spans="1:29" s="2" customFormat="1" x14ac:dyDescent="0.3">
      <c r="A52" s="73" t="s">
        <v>331</v>
      </c>
      <c r="B52" s="74">
        <v>46087</v>
      </c>
      <c r="C52" s="75">
        <v>1</v>
      </c>
      <c r="D52" s="75">
        <v>0</v>
      </c>
      <c r="E52" s="73" t="s">
        <v>332</v>
      </c>
      <c r="F52" s="73" t="s">
        <v>200</v>
      </c>
      <c r="G52" s="73" t="s">
        <v>55</v>
      </c>
      <c r="H52" s="73" t="s">
        <v>33</v>
      </c>
      <c r="I52" s="73" t="s">
        <v>20</v>
      </c>
      <c r="J52" s="73" t="s">
        <v>137</v>
      </c>
      <c r="K52" s="73" t="s">
        <v>13</v>
      </c>
      <c r="L52" s="4"/>
      <c r="M52" s="4"/>
      <c r="N52" s="4"/>
      <c r="O52" s="4"/>
      <c r="P52" s="4"/>
      <c r="Q52" s="4"/>
      <c r="R52" s="3"/>
      <c r="S52" s="3"/>
      <c r="T52" s="4"/>
      <c r="U52" s="4"/>
      <c r="V52" s="4"/>
      <c r="W52" s="4"/>
      <c r="X52" s="4"/>
      <c r="Y52" s="4"/>
      <c r="Z52" s="4"/>
      <c r="AA52" s="4"/>
      <c r="AB52" s="4"/>
      <c r="AC52" s="4"/>
    </row>
    <row r="53" spans="1:29" s="2" customFormat="1" x14ac:dyDescent="0.3">
      <c r="A53" s="73" t="s">
        <v>337</v>
      </c>
      <c r="B53" s="74">
        <v>46092</v>
      </c>
      <c r="C53" s="75">
        <v>1</v>
      </c>
      <c r="D53" s="75">
        <v>0</v>
      </c>
      <c r="E53" s="73" t="s">
        <v>90</v>
      </c>
      <c r="F53" s="73" t="s">
        <v>98</v>
      </c>
      <c r="G53" s="73" t="s">
        <v>55</v>
      </c>
      <c r="H53" s="73" t="s">
        <v>33</v>
      </c>
      <c r="I53" s="73" t="s">
        <v>20</v>
      </c>
      <c r="J53" s="73" t="s">
        <v>26</v>
      </c>
      <c r="K53" s="73" t="s">
        <v>91</v>
      </c>
      <c r="L53" s="4"/>
      <c r="M53" s="4"/>
      <c r="N53" s="4"/>
      <c r="O53" s="4"/>
      <c r="P53" s="4"/>
      <c r="Q53" s="4"/>
      <c r="R53" s="3"/>
      <c r="S53" s="3"/>
      <c r="T53" s="4"/>
      <c r="U53" s="4"/>
      <c r="V53" s="4"/>
      <c r="W53" s="4"/>
      <c r="X53" s="4"/>
      <c r="Y53" s="4"/>
      <c r="Z53" s="4"/>
      <c r="AA53" s="4"/>
      <c r="AB53" s="4"/>
      <c r="AC53" s="4"/>
    </row>
    <row r="54" spans="1:29" s="2" customFormat="1" x14ac:dyDescent="0.3">
      <c r="A54" s="73" t="s">
        <v>338</v>
      </c>
      <c r="B54" s="74">
        <v>46092</v>
      </c>
      <c r="C54" s="75">
        <v>1</v>
      </c>
      <c r="D54" s="75">
        <v>0</v>
      </c>
      <c r="E54" s="73" t="s">
        <v>320</v>
      </c>
      <c r="F54" s="73" t="s">
        <v>200</v>
      </c>
      <c r="G54" s="73" t="s">
        <v>55</v>
      </c>
      <c r="H54" s="73" t="s">
        <v>333</v>
      </c>
      <c r="I54" s="73" t="s">
        <v>20</v>
      </c>
      <c r="J54" s="73" t="s">
        <v>77</v>
      </c>
      <c r="K54" s="73" t="s">
        <v>13</v>
      </c>
      <c r="L54" s="4"/>
      <c r="M54" s="4"/>
      <c r="N54" s="4"/>
      <c r="O54" s="4"/>
      <c r="P54" s="4"/>
      <c r="Q54" s="4"/>
      <c r="R54" s="3"/>
      <c r="S54" s="3"/>
      <c r="T54" s="4"/>
      <c r="U54" s="4"/>
      <c r="V54" s="4"/>
      <c r="W54" s="4"/>
      <c r="X54" s="4"/>
      <c r="Y54" s="4"/>
      <c r="Z54" s="4"/>
      <c r="AA54" s="4"/>
      <c r="AB54" s="4"/>
      <c r="AC54" s="4"/>
    </row>
    <row r="55" spans="1:29" s="2" customFormat="1" x14ac:dyDescent="0.3">
      <c r="A55" s="73" t="s">
        <v>339</v>
      </c>
      <c r="B55" s="74">
        <v>46092</v>
      </c>
      <c r="C55" s="75">
        <v>1</v>
      </c>
      <c r="D55" s="75">
        <v>0</v>
      </c>
      <c r="E55" s="73" t="s">
        <v>214</v>
      </c>
      <c r="F55" s="73" t="s">
        <v>200</v>
      </c>
      <c r="G55" s="73" t="s">
        <v>55</v>
      </c>
      <c r="H55" s="73" t="s">
        <v>33</v>
      </c>
      <c r="I55" s="73" t="s">
        <v>20</v>
      </c>
      <c r="J55" s="73" t="s">
        <v>215</v>
      </c>
      <c r="K55" s="73" t="s">
        <v>194</v>
      </c>
      <c r="L55" s="4"/>
      <c r="M55" s="4"/>
      <c r="N55" s="4"/>
      <c r="O55" s="4"/>
      <c r="P55" s="4"/>
      <c r="Q55" s="4"/>
      <c r="R55" s="3"/>
      <c r="S55" s="3"/>
      <c r="T55" s="4"/>
      <c r="U55" s="4"/>
      <c r="V55" s="4"/>
      <c r="W55" s="4"/>
      <c r="X55" s="4"/>
      <c r="Y55" s="4"/>
      <c r="Z55" s="4"/>
      <c r="AA55" s="4"/>
      <c r="AB55" s="4"/>
      <c r="AC55" s="4"/>
    </row>
    <row r="56" spans="1:29" s="2" customFormat="1" x14ac:dyDescent="0.3">
      <c r="A56" s="73" t="s">
        <v>340</v>
      </c>
      <c r="B56" s="74">
        <v>46094</v>
      </c>
      <c r="C56" s="75">
        <v>1</v>
      </c>
      <c r="D56" s="75">
        <v>0</v>
      </c>
      <c r="E56" s="73" t="s">
        <v>25</v>
      </c>
      <c r="F56" s="73" t="s">
        <v>200</v>
      </c>
      <c r="G56" s="73" t="s">
        <v>55</v>
      </c>
      <c r="H56" s="73" t="s">
        <v>33</v>
      </c>
      <c r="I56" s="73" t="s">
        <v>20</v>
      </c>
      <c r="J56" s="73" t="s">
        <v>341</v>
      </c>
      <c r="K56" s="73" t="s">
        <v>43</v>
      </c>
      <c r="L56" s="4"/>
      <c r="M56" s="4"/>
      <c r="N56" s="4"/>
      <c r="O56" s="4"/>
      <c r="P56" s="4"/>
      <c r="Q56" s="4"/>
      <c r="R56" s="3"/>
      <c r="S56" s="3"/>
      <c r="T56" s="4"/>
      <c r="U56" s="4"/>
      <c r="V56" s="4"/>
      <c r="W56" s="4"/>
      <c r="X56" s="4"/>
      <c r="Y56" s="4"/>
      <c r="Z56" s="4"/>
      <c r="AA56" s="4"/>
      <c r="AB56" s="4"/>
      <c r="AC56" s="4"/>
    </row>
    <row r="57" spans="1:29" s="2" customFormat="1" x14ac:dyDescent="0.3">
      <c r="A57" s="73" t="s">
        <v>342</v>
      </c>
      <c r="B57" s="74">
        <v>46094</v>
      </c>
      <c r="C57" s="75">
        <v>1</v>
      </c>
      <c r="D57" s="75">
        <v>0</v>
      </c>
      <c r="E57" s="73" t="s">
        <v>343</v>
      </c>
      <c r="F57" s="73" t="s">
        <v>98</v>
      </c>
      <c r="G57" s="73" t="s">
        <v>55</v>
      </c>
      <c r="H57" s="73" t="s">
        <v>148</v>
      </c>
      <c r="I57" s="73" t="s">
        <v>20</v>
      </c>
      <c r="J57" s="73" t="s">
        <v>156</v>
      </c>
      <c r="K57" s="73" t="s">
        <v>13</v>
      </c>
      <c r="L57" s="4"/>
      <c r="M57" s="4"/>
      <c r="N57" s="4"/>
      <c r="O57" s="4"/>
      <c r="P57" s="4"/>
      <c r="Q57" s="4"/>
      <c r="R57" s="3"/>
      <c r="S57" s="3"/>
      <c r="T57" s="4"/>
      <c r="U57" s="4"/>
      <c r="V57" s="4"/>
      <c r="W57" s="4"/>
      <c r="X57" s="4"/>
      <c r="Y57" s="4"/>
      <c r="Z57" s="4"/>
      <c r="AA57" s="4"/>
      <c r="AB57" s="4"/>
      <c r="AC57" s="4"/>
    </row>
    <row r="58" spans="1:29" s="2" customFormat="1" hidden="1" x14ac:dyDescent="0.3">
      <c r="A58" s="77"/>
      <c r="B58" s="78"/>
      <c r="C58" s="79"/>
      <c r="D58" s="79"/>
      <c r="E58" s="77"/>
      <c r="F58" s="77"/>
      <c r="G58" s="77"/>
      <c r="H58" s="77"/>
      <c r="I58" s="77"/>
      <c r="J58" s="77"/>
      <c r="K58" s="77"/>
      <c r="L58" s="4"/>
      <c r="M58" s="4"/>
      <c r="N58" s="4"/>
      <c r="O58" s="4"/>
      <c r="P58" s="4"/>
      <c r="Q58" s="4"/>
      <c r="R58" s="3"/>
      <c r="S58" s="3"/>
      <c r="T58" s="4"/>
      <c r="U58" s="4"/>
      <c r="V58" s="4"/>
      <c r="W58" s="4"/>
      <c r="X58" s="4"/>
      <c r="Y58" s="4"/>
      <c r="Z58" s="4"/>
      <c r="AA58" s="4"/>
      <c r="AB58" s="4"/>
      <c r="AC58" s="4"/>
    </row>
    <row r="59" spans="1:29" s="2" customFormat="1" ht="15" thickBot="1" x14ac:dyDescent="0.35">
      <c r="A59" s="77"/>
      <c r="B59" s="78"/>
      <c r="C59" s="79"/>
      <c r="D59" s="79"/>
      <c r="E59" s="77"/>
      <c r="F59" s="77"/>
      <c r="G59" s="77"/>
      <c r="H59" s="77"/>
      <c r="I59" s="77"/>
      <c r="J59" s="77"/>
      <c r="K59" s="77"/>
      <c r="L59" s="4"/>
      <c r="M59" s="4"/>
      <c r="N59" s="4"/>
      <c r="O59" s="4"/>
      <c r="P59" s="4"/>
      <c r="Q59" s="4"/>
      <c r="R59" s="3"/>
      <c r="S59" s="3"/>
      <c r="T59" s="4"/>
      <c r="U59" s="4"/>
      <c r="V59" s="4"/>
      <c r="W59" s="4"/>
      <c r="X59" s="4"/>
      <c r="Y59" s="4"/>
      <c r="Z59" s="4"/>
      <c r="AA59" s="4"/>
      <c r="AB59" s="4"/>
      <c r="AC59" s="4"/>
    </row>
    <row r="60" spans="1:29" ht="15" thickBot="1" x14ac:dyDescent="0.35">
      <c r="B60" s="38" t="s">
        <v>266</v>
      </c>
      <c r="C60" s="22">
        <v>7</v>
      </c>
    </row>
  </sheetData>
  <autoFilter ref="A3:J27" xr:uid="{6E392464-0CD5-4B6C-9B5A-A4EF4B03C567}">
    <sortState xmlns:xlrd2="http://schemas.microsoft.com/office/spreadsheetml/2017/richdata2" ref="A4:J37">
      <sortCondition ref="B3:B27"/>
    </sortState>
  </autoFilter>
  <conditionalFormatting sqref="F1:F37">
    <cfRule type="cellIs" dxfId="162" priority="11" operator="equal">
      <formula>"Non-Billable"</formula>
    </cfRule>
    <cfRule type="cellIs" dxfId="161" priority="12" operator="equal">
      <formula>"Billable"</formula>
    </cfRule>
  </conditionalFormatting>
  <conditionalFormatting sqref="F38">
    <cfRule type="cellIs" dxfId="160" priority="74" operator="equal">
      <formula>"Not Accepting Application"</formula>
    </cfRule>
    <cfRule type="cellIs" dxfId="159" priority="75" operator="equal">
      <formula>"Y"</formula>
    </cfRule>
  </conditionalFormatting>
  <conditionalFormatting sqref="F40:F1048576">
    <cfRule type="cellIs" dxfId="158" priority="1" operator="equal">
      <formula>"Non-Billable"</formula>
    </cfRule>
    <cfRule type="cellIs" dxfId="157" priority="2" operator="equal">
      <formula>"Billable"</formula>
    </cfRule>
  </conditionalFormatting>
  <conditionalFormatting sqref="H1:H2 H4:H37 F38 H39:H41 H43:H49 H51:H1048576">
    <cfRule type="cellIs" dxfId="156" priority="72" operator="equal">
      <formula>"Not accpeting applications"</formula>
    </cfRule>
  </conditionalFormatting>
  <conditionalFormatting sqref="H1:H2 H4:H37 H39:H41 H43:H49 AG51:AG60 H51:H1048576">
    <cfRule type="cellIs" dxfId="155" priority="71" operator="equal">
      <formula>"Not Accepting Applications"</formula>
    </cfRule>
  </conditionalFormatting>
  <conditionalFormatting sqref="H4:H37">
    <cfRule type="cellIs" dxfId="154" priority="73" operator="equal">
      <formula>"Accepting Applications"</formula>
    </cfRule>
  </conditionalFormatting>
  <conditionalFormatting sqref="H43:H44">
    <cfRule type="cellIs" dxfId="153" priority="76" operator="equal">
      <formula>"Not Accepting Application"</formula>
    </cfRule>
    <cfRule type="cellIs" dxfId="152" priority="77" operator="equal">
      <formula>"Accepting Applications"</formula>
    </cfRule>
    <cfRule type="cellIs" dxfId="151" priority="78" operator="equal">
      <formula>"Y"</formula>
    </cfRule>
  </conditionalFormatting>
  <conditionalFormatting sqref="H53">
    <cfRule type="cellIs" dxfId="150" priority="63" operator="equal">
      <formula>"Accepting Applications"</formula>
    </cfRule>
  </conditionalFormatting>
  <conditionalFormatting sqref="I1:I37 F38:G38 I40:I1048576">
    <cfRule type="cellIs" dxfId="149" priority="69" operator="equal">
      <formula>"Accepting Applications"</formula>
    </cfRule>
    <cfRule type="cellIs" dxfId="148" priority="70" operator="equal">
      <formula>"Not Accepting Applications"</formula>
    </cfRule>
  </conditionalFormatting>
  <conditionalFormatting sqref="I1:I37 G38 I40:I1048576">
    <cfRule type="cellIs" dxfId="147" priority="68" operator="equal">
      <formula>"Pending"</formula>
    </cfRule>
  </conditionalFormatting>
  <pageMargins left="0.7" right="0.7" top="0.75" bottom="0.75" header="0.3" footer="0.3"/>
  <pageSetup orientation="landscape"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3FFBC-CA61-42D3-BAEB-8D33A5DF1CBB}">
  <sheetPr>
    <tabColor theme="2" tint="-0.499984740745262"/>
  </sheetPr>
  <dimension ref="A1:AC60"/>
  <sheetViews>
    <sheetView showGridLines="0" zoomScale="80" zoomScaleNormal="80" workbookViewId="0">
      <selection activeCell="F38" sqref="F38"/>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0.33333333333333331</v>
      </c>
      <c r="B1" s="37">
        <v>46093</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73" t="s">
        <v>74</v>
      </c>
      <c r="B4" s="74">
        <v>46076</v>
      </c>
      <c r="C4" s="75">
        <v>1</v>
      </c>
      <c r="D4" s="75">
        <v>0</v>
      </c>
      <c r="E4" s="73" t="s">
        <v>75</v>
      </c>
      <c r="F4" s="73" t="s">
        <v>98</v>
      </c>
      <c r="G4" s="73" t="s">
        <v>7</v>
      </c>
      <c r="H4" s="73" t="s">
        <v>47</v>
      </c>
      <c r="I4" s="73" t="s">
        <v>9</v>
      </c>
      <c r="J4" s="73" t="s">
        <v>77</v>
      </c>
      <c r="K4" s="73" t="s">
        <v>13</v>
      </c>
      <c r="AB4" s="2" t="s">
        <v>10</v>
      </c>
      <c r="AC4" s="2" t="s">
        <v>11</v>
      </c>
    </row>
    <row r="5" spans="1:29" s="2" customFormat="1" x14ac:dyDescent="0.3">
      <c r="A5" s="73" t="s">
        <v>128</v>
      </c>
      <c r="B5" s="74">
        <v>46035</v>
      </c>
      <c r="C5" s="75">
        <v>1</v>
      </c>
      <c r="D5" s="75">
        <v>0</v>
      </c>
      <c r="E5" s="73" t="s">
        <v>129</v>
      </c>
      <c r="F5" s="73" t="s">
        <v>200</v>
      </c>
      <c r="G5" s="73" t="s">
        <v>7</v>
      </c>
      <c r="H5" s="73" t="s">
        <v>64</v>
      </c>
      <c r="I5" s="73" t="s">
        <v>9</v>
      </c>
      <c r="J5" s="73" t="s">
        <v>65</v>
      </c>
      <c r="K5" s="73" t="s">
        <v>48</v>
      </c>
      <c r="AB5" s="2" t="s">
        <v>14</v>
      </c>
      <c r="AC5" s="2">
        <v>17</v>
      </c>
    </row>
    <row r="6" spans="1:29" s="2" customFormat="1" x14ac:dyDescent="0.3">
      <c r="A6" s="73" t="s">
        <v>157</v>
      </c>
      <c r="B6" s="74">
        <v>46063</v>
      </c>
      <c r="C6" s="75">
        <v>1</v>
      </c>
      <c r="D6" s="75">
        <v>0</v>
      </c>
      <c r="E6" s="73" t="s">
        <v>158</v>
      </c>
      <c r="F6" s="73" t="s">
        <v>98</v>
      </c>
      <c r="G6" s="73" t="s">
        <v>7</v>
      </c>
      <c r="H6" s="73" t="s">
        <v>17</v>
      </c>
      <c r="I6" s="73" t="s">
        <v>9</v>
      </c>
      <c r="J6" s="73" t="s">
        <v>159</v>
      </c>
      <c r="K6" s="73" t="s">
        <v>28</v>
      </c>
      <c r="N6" s="10"/>
      <c r="AB6" s="2" t="s">
        <v>15</v>
      </c>
      <c r="AC6" s="2">
        <v>3</v>
      </c>
    </row>
    <row r="7" spans="1:29" s="2" customFormat="1" x14ac:dyDescent="0.3">
      <c r="A7" s="73" t="s">
        <v>163</v>
      </c>
      <c r="B7" s="74">
        <v>46069</v>
      </c>
      <c r="C7" s="75">
        <v>1</v>
      </c>
      <c r="D7" s="75">
        <v>0</v>
      </c>
      <c r="E7" s="73" t="s">
        <v>164</v>
      </c>
      <c r="F7" s="73" t="s">
        <v>98</v>
      </c>
      <c r="G7" s="73" t="s">
        <v>7</v>
      </c>
      <c r="H7" s="73" t="s">
        <v>18</v>
      </c>
      <c r="I7" s="73" t="s">
        <v>56</v>
      </c>
      <c r="J7" s="73" t="s">
        <v>165</v>
      </c>
      <c r="K7" s="73" t="s">
        <v>13</v>
      </c>
      <c r="N7" s="10"/>
      <c r="V7" s="11"/>
      <c r="AB7" s="2" t="s">
        <v>16</v>
      </c>
      <c r="AC7" s="2">
        <v>4</v>
      </c>
    </row>
    <row r="8" spans="1:29" s="2" customFormat="1" x14ac:dyDescent="0.3">
      <c r="A8" s="73" t="s">
        <v>202</v>
      </c>
      <c r="B8" s="74">
        <v>46077</v>
      </c>
      <c r="C8" s="75">
        <v>1</v>
      </c>
      <c r="D8" s="75">
        <v>0</v>
      </c>
      <c r="E8" s="73" t="s">
        <v>54</v>
      </c>
      <c r="F8" s="73" t="s">
        <v>98</v>
      </c>
      <c r="G8" s="73" t="s">
        <v>7</v>
      </c>
      <c r="H8" s="73" t="s">
        <v>18</v>
      </c>
      <c r="I8" s="73" t="s">
        <v>56</v>
      </c>
      <c r="J8" s="73" t="s">
        <v>203</v>
      </c>
      <c r="K8" s="73" t="s">
        <v>19</v>
      </c>
      <c r="N8" s="10"/>
    </row>
    <row r="9" spans="1:29" s="2" customFormat="1" x14ac:dyDescent="0.3">
      <c r="A9" s="73" t="s">
        <v>209</v>
      </c>
      <c r="B9" s="74">
        <v>46063</v>
      </c>
      <c r="C9" s="75">
        <v>1</v>
      </c>
      <c r="D9" s="75">
        <v>0</v>
      </c>
      <c r="E9" s="73" t="s">
        <v>210</v>
      </c>
      <c r="F9" s="73" t="s">
        <v>98</v>
      </c>
      <c r="G9" s="73" t="s">
        <v>7</v>
      </c>
      <c r="H9" s="73" t="s">
        <v>17</v>
      </c>
      <c r="I9" s="73" t="s">
        <v>9</v>
      </c>
      <c r="J9" s="73" t="s">
        <v>206</v>
      </c>
      <c r="K9" s="73" t="s">
        <v>13</v>
      </c>
    </row>
    <row r="10" spans="1:29" s="2" customFormat="1" x14ac:dyDescent="0.3">
      <c r="A10" s="73" t="s">
        <v>221</v>
      </c>
      <c r="B10" s="74">
        <v>46085</v>
      </c>
      <c r="C10" s="75">
        <v>2</v>
      </c>
      <c r="D10" s="75">
        <v>0</v>
      </c>
      <c r="E10" s="73" t="s">
        <v>201</v>
      </c>
      <c r="F10" s="73" t="s">
        <v>200</v>
      </c>
      <c r="G10" s="73" t="s">
        <v>7</v>
      </c>
      <c r="H10" s="73" t="s">
        <v>312</v>
      </c>
      <c r="I10" s="73" t="s">
        <v>9</v>
      </c>
      <c r="J10" s="73" t="s">
        <v>105</v>
      </c>
      <c r="K10" s="73" t="s">
        <v>43</v>
      </c>
    </row>
    <row r="11" spans="1:29" s="2" customFormat="1" x14ac:dyDescent="0.3">
      <c r="A11" s="73" t="s">
        <v>222</v>
      </c>
      <c r="B11" s="74">
        <v>46079</v>
      </c>
      <c r="C11" s="75">
        <v>1</v>
      </c>
      <c r="D11" s="75">
        <v>0</v>
      </c>
      <c r="E11" s="73" t="s">
        <v>223</v>
      </c>
      <c r="F11" s="73" t="s">
        <v>200</v>
      </c>
      <c r="G11" s="73" t="s">
        <v>7</v>
      </c>
      <c r="H11" s="73" t="s">
        <v>305</v>
      </c>
      <c r="I11" s="73" t="s">
        <v>9</v>
      </c>
      <c r="J11" s="73" t="s">
        <v>180</v>
      </c>
      <c r="K11" s="73" t="s">
        <v>13</v>
      </c>
    </row>
    <row r="12" spans="1:29" s="2" customFormat="1" x14ac:dyDescent="0.3">
      <c r="A12" s="73" t="s">
        <v>226</v>
      </c>
      <c r="B12" s="74">
        <v>46079</v>
      </c>
      <c r="C12" s="75">
        <v>2</v>
      </c>
      <c r="D12" s="75">
        <v>1</v>
      </c>
      <c r="E12" s="73" t="s">
        <v>227</v>
      </c>
      <c r="F12" s="73" t="s">
        <v>200</v>
      </c>
      <c r="G12" s="73" t="s">
        <v>7</v>
      </c>
      <c r="H12" s="73" t="s">
        <v>306</v>
      </c>
      <c r="I12" s="73" t="s">
        <v>9</v>
      </c>
      <c r="J12" s="73" t="s">
        <v>180</v>
      </c>
      <c r="K12" s="73" t="s">
        <v>13</v>
      </c>
    </row>
    <row r="13" spans="1:29" s="2" customFormat="1" x14ac:dyDescent="0.3">
      <c r="A13" s="73" t="s">
        <v>228</v>
      </c>
      <c r="B13" s="74">
        <v>46085</v>
      </c>
      <c r="C13" s="75">
        <v>1</v>
      </c>
      <c r="D13" s="75">
        <v>0</v>
      </c>
      <c r="E13" s="73" t="s">
        <v>30</v>
      </c>
      <c r="F13" s="73" t="s">
        <v>200</v>
      </c>
      <c r="G13" s="73" t="s">
        <v>7</v>
      </c>
      <c r="H13" s="73" t="s">
        <v>313</v>
      </c>
      <c r="I13" s="73" t="s">
        <v>9</v>
      </c>
      <c r="J13" s="73" t="s">
        <v>12</v>
      </c>
      <c r="K13" s="73" t="s">
        <v>24</v>
      </c>
    </row>
    <row r="14" spans="1:29" s="2" customFormat="1" x14ac:dyDescent="0.3">
      <c r="A14" s="73" t="s">
        <v>229</v>
      </c>
      <c r="B14" s="74">
        <v>46065</v>
      </c>
      <c r="C14" s="75">
        <v>3</v>
      </c>
      <c r="D14" s="75">
        <v>2</v>
      </c>
      <c r="E14" s="73" t="s">
        <v>45</v>
      </c>
      <c r="F14" s="73" t="s">
        <v>200</v>
      </c>
      <c r="G14" s="73" t="s">
        <v>7</v>
      </c>
      <c r="H14" s="73" t="s">
        <v>272</v>
      </c>
      <c r="I14" s="73" t="s">
        <v>20</v>
      </c>
      <c r="J14" s="73" t="s">
        <v>121</v>
      </c>
      <c r="K14" s="73" t="s">
        <v>13</v>
      </c>
    </row>
    <row r="15" spans="1:29" s="2" customFormat="1" x14ac:dyDescent="0.3">
      <c r="A15" s="73" t="s">
        <v>230</v>
      </c>
      <c r="B15" s="74">
        <v>46065</v>
      </c>
      <c r="C15" s="75">
        <v>1</v>
      </c>
      <c r="D15" s="75">
        <v>0</v>
      </c>
      <c r="E15" s="73" t="s">
        <v>263</v>
      </c>
      <c r="F15" s="73" t="s">
        <v>200</v>
      </c>
      <c r="G15" s="73" t="s">
        <v>7</v>
      </c>
      <c r="H15" s="73" t="s">
        <v>23</v>
      </c>
      <c r="I15" s="73" t="s">
        <v>9</v>
      </c>
      <c r="J15" s="73" t="s">
        <v>12</v>
      </c>
      <c r="K15" s="73" t="s">
        <v>24</v>
      </c>
    </row>
    <row r="16" spans="1:29" s="2" customFormat="1" x14ac:dyDescent="0.3">
      <c r="A16" s="73" t="s">
        <v>234</v>
      </c>
      <c r="B16" s="74">
        <v>46056</v>
      </c>
      <c r="C16" s="75">
        <v>30</v>
      </c>
      <c r="D16" s="75">
        <v>8</v>
      </c>
      <c r="E16" s="73" t="s">
        <v>45</v>
      </c>
      <c r="F16" s="73" t="s">
        <v>200</v>
      </c>
      <c r="G16" s="73" t="s">
        <v>7</v>
      </c>
      <c r="H16" s="73" t="s">
        <v>259</v>
      </c>
      <c r="I16" s="73" t="s">
        <v>20</v>
      </c>
      <c r="J16" s="73" t="s">
        <v>49</v>
      </c>
      <c r="K16" s="73" t="s">
        <v>91</v>
      </c>
    </row>
    <row r="17" spans="1:11" s="2" customFormat="1" x14ac:dyDescent="0.3">
      <c r="A17" s="73" t="s">
        <v>243</v>
      </c>
      <c r="B17" s="74">
        <v>46085</v>
      </c>
      <c r="C17" s="75">
        <v>1</v>
      </c>
      <c r="D17" s="75">
        <v>0</v>
      </c>
      <c r="E17" s="73" t="s">
        <v>244</v>
      </c>
      <c r="F17" s="73" t="s">
        <v>98</v>
      </c>
      <c r="G17" s="73" t="s">
        <v>7</v>
      </c>
      <c r="H17" s="73" t="s">
        <v>33</v>
      </c>
      <c r="I17" s="73" t="s">
        <v>20</v>
      </c>
      <c r="J17" s="73" t="s">
        <v>103</v>
      </c>
      <c r="K17" s="73" t="s">
        <v>21</v>
      </c>
    </row>
    <row r="18" spans="1:11" s="2" customFormat="1" x14ac:dyDescent="0.3">
      <c r="A18" s="73" t="s">
        <v>246</v>
      </c>
      <c r="B18" s="74">
        <v>46091</v>
      </c>
      <c r="C18" s="75">
        <v>1</v>
      </c>
      <c r="D18" s="75">
        <v>0</v>
      </c>
      <c r="E18" s="73" t="s">
        <v>232</v>
      </c>
      <c r="F18" s="73" t="s">
        <v>200</v>
      </c>
      <c r="G18" s="73" t="s">
        <v>7</v>
      </c>
      <c r="H18" s="73" t="s">
        <v>64</v>
      </c>
      <c r="I18" s="73" t="s">
        <v>9</v>
      </c>
      <c r="J18" s="73" t="s">
        <v>65</v>
      </c>
      <c r="K18" s="73" t="s">
        <v>48</v>
      </c>
    </row>
    <row r="19" spans="1:11" s="2" customFormat="1" ht="15" customHeight="1" x14ac:dyDescent="0.3">
      <c r="A19" s="73" t="s">
        <v>247</v>
      </c>
      <c r="B19" s="74">
        <v>46085</v>
      </c>
      <c r="C19" s="75">
        <v>1</v>
      </c>
      <c r="D19" s="75">
        <v>0</v>
      </c>
      <c r="E19" s="73" t="s">
        <v>120</v>
      </c>
      <c r="F19" s="73" t="s">
        <v>200</v>
      </c>
      <c r="G19" s="73" t="s">
        <v>7</v>
      </c>
      <c r="H19" s="73" t="s">
        <v>314</v>
      </c>
      <c r="I19" s="73" t="s">
        <v>9</v>
      </c>
      <c r="J19" s="73" t="s">
        <v>248</v>
      </c>
      <c r="K19" s="73" t="s">
        <v>43</v>
      </c>
    </row>
    <row r="20" spans="1:11" s="2" customFormat="1" ht="13.95" customHeight="1" x14ac:dyDescent="0.3">
      <c r="A20" s="73" t="s">
        <v>249</v>
      </c>
      <c r="B20" s="74">
        <v>46076</v>
      </c>
      <c r="C20" s="75">
        <v>2</v>
      </c>
      <c r="D20" s="75">
        <v>0</v>
      </c>
      <c r="E20" s="73" t="s">
        <v>45</v>
      </c>
      <c r="F20" s="73" t="s">
        <v>200</v>
      </c>
      <c r="G20" s="73" t="s">
        <v>7</v>
      </c>
      <c r="H20" s="73" t="s">
        <v>27</v>
      </c>
      <c r="I20" s="73" t="s">
        <v>20</v>
      </c>
      <c r="J20" s="73" t="s">
        <v>121</v>
      </c>
      <c r="K20" s="73" t="s">
        <v>13</v>
      </c>
    </row>
    <row r="21" spans="1:11" s="2" customFormat="1" x14ac:dyDescent="0.3">
      <c r="A21" s="73" t="s">
        <v>253</v>
      </c>
      <c r="B21" s="74">
        <v>46069</v>
      </c>
      <c r="C21" s="75">
        <v>1</v>
      </c>
      <c r="D21" s="75">
        <v>0</v>
      </c>
      <c r="E21" s="73" t="s">
        <v>244</v>
      </c>
      <c r="F21" s="73" t="s">
        <v>98</v>
      </c>
      <c r="G21" s="73" t="s">
        <v>7</v>
      </c>
      <c r="H21" s="73" t="s">
        <v>33</v>
      </c>
      <c r="I21" s="73" t="s">
        <v>20</v>
      </c>
      <c r="J21" s="73" t="s">
        <v>103</v>
      </c>
      <c r="K21" s="73" t="s">
        <v>21</v>
      </c>
    </row>
    <row r="22" spans="1:11" s="2" customFormat="1" x14ac:dyDescent="0.3">
      <c r="A22" s="73" t="s">
        <v>254</v>
      </c>
      <c r="B22" s="74">
        <v>46092</v>
      </c>
      <c r="C22" s="75">
        <v>1</v>
      </c>
      <c r="D22" s="75">
        <v>0</v>
      </c>
      <c r="E22" s="73" t="s">
        <v>101</v>
      </c>
      <c r="F22" s="73" t="s">
        <v>98</v>
      </c>
      <c r="G22" s="73" t="s">
        <v>7</v>
      </c>
      <c r="H22" s="73" t="s">
        <v>18</v>
      </c>
      <c r="I22" s="73" t="s">
        <v>56</v>
      </c>
      <c r="J22" s="73" t="s">
        <v>103</v>
      </c>
      <c r="K22" s="73" t="s">
        <v>21</v>
      </c>
    </row>
    <row r="23" spans="1:11" s="2" customFormat="1" x14ac:dyDescent="0.3">
      <c r="A23" s="73" t="s">
        <v>267</v>
      </c>
      <c r="B23" s="74">
        <v>46077</v>
      </c>
      <c r="C23" s="75">
        <v>1</v>
      </c>
      <c r="D23" s="75">
        <v>0</v>
      </c>
      <c r="E23" s="73" t="s">
        <v>268</v>
      </c>
      <c r="F23" s="73" t="s">
        <v>98</v>
      </c>
      <c r="G23" s="73" t="s">
        <v>7</v>
      </c>
      <c r="H23" s="73" t="s">
        <v>27</v>
      </c>
      <c r="I23" s="73" t="s">
        <v>9</v>
      </c>
      <c r="J23" s="73" t="s">
        <v>269</v>
      </c>
      <c r="K23" s="73" t="s">
        <v>22</v>
      </c>
    </row>
    <row r="24" spans="1:11" s="2" customFormat="1" ht="15" customHeight="1" x14ac:dyDescent="0.3">
      <c r="A24" s="73" t="s">
        <v>270</v>
      </c>
      <c r="B24" s="74">
        <v>46079</v>
      </c>
      <c r="C24" s="75">
        <v>1</v>
      </c>
      <c r="D24" s="75">
        <v>0</v>
      </c>
      <c r="E24" s="73" t="s">
        <v>25</v>
      </c>
      <c r="F24" s="73" t="s">
        <v>200</v>
      </c>
      <c r="G24" s="73" t="s">
        <v>7</v>
      </c>
      <c r="H24" s="73" t="s">
        <v>64</v>
      </c>
      <c r="I24" s="73" t="s">
        <v>9</v>
      </c>
      <c r="J24" s="73" t="s">
        <v>271</v>
      </c>
      <c r="K24" s="73" t="s">
        <v>19</v>
      </c>
    </row>
    <row r="25" spans="1:11" s="2" customFormat="1" x14ac:dyDescent="0.3">
      <c r="A25" s="73" t="s">
        <v>277</v>
      </c>
      <c r="B25" s="74">
        <v>46076</v>
      </c>
      <c r="C25" s="75">
        <v>1</v>
      </c>
      <c r="D25" s="75">
        <v>0</v>
      </c>
      <c r="E25" s="73" t="s">
        <v>283</v>
      </c>
      <c r="F25" s="73" t="s">
        <v>98</v>
      </c>
      <c r="G25" s="73" t="s">
        <v>7</v>
      </c>
      <c r="H25" s="73" t="s">
        <v>47</v>
      </c>
      <c r="I25" s="73" t="s">
        <v>9</v>
      </c>
      <c r="J25" s="73" t="s">
        <v>134</v>
      </c>
      <c r="K25" s="73" t="s">
        <v>13</v>
      </c>
    </row>
    <row r="26" spans="1:11" s="2" customFormat="1" x14ac:dyDescent="0.3">
      <c r="A26" s="73" t="s">
        <v>284</v>
      </c>
      <c r="B26" s="74">
        <v>46085</v>
      </c>
      <c r="C26" s="75">
        <v>1</v>
      </c>
      <c r="D26" s="75">
        <v>0</v>
      </c>
      <c r="E26" s="73" t="s">
        <v>285</v>
      </c>
      <c r="F26" s="73" t="s">
        <v>98</v>
      </c>
      <c r="G26" s="73" t="s">
        <v>7</v>
      </c>
      <c r="H26" s="73" t="s">
        <v>315</v>
      </c>
      <c r="I26" s="73" t="s">
        <v>9</v>
      </c>
      <c r="J26" s="73" t="s">
        <v>286</v>
      </c>
      <c r="K26" s="73" t="s">
        <v>287</v>
      </c>
    </row>
    <row r="27" spans="1:11" s="2" customFormat="1" x14ac:dyDescent="0.3">
      <c r="A27" s="73" t="s">
        <v>288</v>
      </c>
      <c r="B27" s="74">
        <v>46092</v>
      </c>
      <c r="C27" s="75">
        <v>1</v>
      </c>
      <c r="D27" s="75">
        <v>0</v>
      </c>
      <c r="E27" s="73" t="s">
        <v>40</v>
      </c>
      <c r="F27" s="73" t="s">
        <v>98</v>
      </c>
      <c r="G27" s="73" t="s">
        <v>7</v>
      </c>
      <c r="H27" s="73" t="s">
        <v>33</v>
      </c>
      <c r="I27" s="73" t="s">
        <v>20</v>
      </c>
      <c r="J27" s="73" t="s">
        <v>165</v>
      </c>
      <c r="K27" s="73" t="s">
        <v>13</v>
      </c>
    </row>
    <row r="28" spans="1:11" s="2" customFormat="1" x14ac:dyDescent="0.3">
      <c r="A28" s="73" t="s">
        <v>291</v>
      </c>
      <c r="B28" s="74">
        <v>46078</v>
      </c>
      <c r="C28" s="75">
        <v>1</v>
      </c>
      <c r="D28" s="75">
        <v>0</v>
      </c>
      <c r="E28" s="73" t="s">
        <v>292</v>
      </c>
      <c r="F28" s="73" t="s">
        <v>98</v>
      </c>
      <c r="G28" s="73" t="s">
        <v>7</v>
      </c>
      <c r="H28" s="73" t="s">
        <v>44</v>
      </c>
      <c r="I28" s="73" t="s">
        <v>9</v>
      </c>
      <c r="J28" s="73" t="s">
        <v>95</v>
      </c>
      <c r="K28" s="73" t="s">
        <v>13</v>
      </c>
    </row>
    <row r="29" spans="1:11" s="2" customFormat="1" x14ac:dyDescent="0.3">
      <c r="A29" s="73" t="s">
        <v>299</v>
      </c>
      <c r="B29" s="74">
        <v>46085</v>
      </c>
      <c r="C29" s="75">
        <v>1</v>
      </c>
      <c r="D29" s="75">
        <v>0</v>
      </c>
      <c r="E29" s="73" t="s">
        <v>46</v>
      </c>
      <c r="F29" s="73" t="s">
        <v>200</v>
      </c>
      <c r="G29" s="73" t="s">
        <v>7</v>
      </c>
      <c r="H29" s="73" t="s">
        <v>27</v>
      </c>
      <c r="I29" s="73" t="s">
        <v>9</v>
      </c>
      <c r="J29" s="73" t="s">
        <v>49</v>
      </c>
      <c r="K29" s="73" t="s">
        <v>48</v>
      </c>
    </row>
    <row r="30" spans="1:11" s="2" customFormat="1" ht="13.95" customHeight="1" x14ac:dyDescent="0.3">
      <c r="A30" s="73" t="s">
        <v>300</v>
      </c>
      <c r="B30" s="74">
        <v>46086</v>
      </c>
      <c r="C30" s="75">
        <v>1</v>
      </c>
      <c r="D30" s="75">
        <v>0</v>
      </c>
      <c r="E30" s="73" t="s">
        <v>301</v>
      </c>
      <c r="F30" s="73" t="s">
        <v>200</v>
      </c>
      <c r="G30" s="73" t="s">
        <v>7</v>
      </c>
      <c r="H30" s="73" t="s">
        <v>23</v>
      </c>
      <c r="I30" s="73" t="s">
        <v>9</v>
      </c>
      <c r="J30" s="73" t="s">
        <v>302</v>
      </c>
      <c r="K30" s="73" t="s">
        <v>91</v>
      </c>
    </row>
    <row r="31" spans="1:11" s="2" customFormat="1" ht="14.25" customHeight="1" x14ac:dyDescent="0.3">
      <c r="A31" s="73" t="s">
        <v>303</v>
      </c>
      <c r="B31" s="74">
        <v>46084</v>
      </c>
      <c r="C31" s="75">
        <v>1</v>
      </c>
      <c r="D31" s="75">
        <v>0</v>
      </c>
      <c r="E31" s="73" t="s">
        <v>240</v>
      </c>
      <c r="F31" s="73" t="s">
        <v>98</v>
      </c>
      <c r="G31" s="73" t="s">
        <v>7</v>
      </c>
      <c r="H31" s="73" t="s">
        <v>316</v>
      </c>
      <c r="I31" s="73" t="s">
        <v>20</v>
      </c>
      <c r="J31" s="73" t="s">
        <v>186</v>
      </c>
      <c r="K31" s="73" t="s">
        <v>194</v>
      </c>
    </row>
    <row r="32" spans="1:11" s="2" customFormat="1" ht="14.25" customHeight="1" x14ac:dyDescent="0.3">
      <c r="A32" s="73" t="s">
        <v>304</v>
      </c>
      <c r="B32" s="74">
        <v>46091</v>
      </c>
      <c r="C32" s="75">
        <v>1</v>
      </c>
      <c r="D32" s="75">
        <v>0</v>
      </c>
      <c r="E32" s="73" t="s">
        <v>136</v>
      </c>
      <c r="F32" s="73" t="s">
        <v>200</v>
      </c>
      <c r="G32" s="73" t="s">
        <v>7</v>
      </c>
      <c r="H32" s="73" t="s">
        <v>18</v>
      </c>
      <c r="I32" s="73" t="s">
        <v>56</v>
      </c>
      <c r="J32" s="73" t="s">
        <v>137</v>
      </c>
      <c r="K32" s="73" t="s">
        <v>13</v>
      </c>
    </row>
    <row r="33" spans="1:19" s="2" customFormat="1" ht="14.25" customHeight="1" x14ac:dyDescent="0.3">
      <c r="A33" s="73" t="s">
        <v>307</v>
      </c>
      <c r="B33" s="74">
        <v>46085</v>
      </c>
      <c r="C33" s="75">
        <v>1</v>
      </c>
      <c r="D33" s="75">
        <v>0</v>
      </c>
      <c r="E33" s="73" t="s">
        <v>29</v>
      </c>
      <c r="F33" s="73" t="s">
        <v>200</v>
      </c>
      <c r="G33" s="73" t="s">
        <v>7</v>
      </c>
      <c r="H33" s="73" t="s">
        <v>33</v>
      </c>
      <c r="I33" s="73" t="s">
        <v>20</v>
      </c>
      <c r="J33" s="73" t="s">
        <v>33</v>
      </c>
      <c r="K33" s="73" t="s">
        <v>308</v>
      </c>
    </row>
    <row r="34" spans="1:19" s="2" customFormat="1" ht="14.25" customHeight="1" x14ac:dyDescent="0.3">
      <c r="A34" s="73" t="s">
        <v>317</v>
      </c>
      <c r="B34" s="74">
        <v>46092</v>
      </c>
      <c r="C34" s="75">
        <v>1</v>
      </c>
      <c r="D34" s="75">
        <v>0</v>
      </c>
      <c r="E34" s="73" t="s">
        <v>318</v>
      </c>
      <c r="F34" s="73" t="s">
        <v>98</v>
      </c>
      <c r="G34" s="73" t="s">
        <v>7</v>
      </c>
      <c r="H34" s="73" t="s">
        <v>18</v>
      </c>
      <c r="I34" s="73" t="s">
        <v>56</v>
      </c>
      <c r="J34" s="73" t="s">
        <v>42</v>
      </c>
      <c r="K34" s="73" t="s">
        <v>311</v>
      </c>
    </row>
    <row r="35" spans="1:19" s="2" customFormat="1" ht="14.25" customHeight="1" x14ac:dyDescent="0.3">
      <c r="A35" s="73" t="s">
        <v>319</v>
      </c>
      <c r="B35" s="74">
        <v>46090</v>
      </c>
      <c r="C35" s="75">
        <v>1</v>
      </c>
      <c r="D35" s="75">
        <v>0</v>
      </c>
      <c r="E35" s="73" t="s">
        <v>320</v>
      </c>
      <c r="F35" s="73" t="s">
        <v>200</v>
      </c>
      <c r="G35" s="73" t="s">
        <v>7</v>
      </c>
      <c r="H35" s="73" t="s">
        <v>333</v>
      </c>
      <c r="I35" s="73" t="s">
        <v>9</v>
      </c>
      <c r="J35" s="73" t="s">
        <v>321</v>
      </c>
      <c r="K35" s="73" t="s">
        <v>13</v>
      </c>
    </row>
    <row r="36" spans="1:19" s="2" customFormat="1" ht="14.25" customHeight="1" x14ac:dyDescent="0.3">
      <c r="A36" s="73" t="s">
        <v>322</v>
      </c>
      <c r="B36" s="74">
        <v>46090</v>
      </c>
      <c r="C36" s="75">
        <v>2</v>
      </c>
      <c r="D36" s="75">
        <v>0</v>
      </c>
      <c r="E36" s="73" t="s">
        <v>334</v>
      </c>
      <c r="F36" s="73" t="s">
        <v>200</v>
      </c>
      <c r="G36" s="73" t="s">
        <v>7</v>
      </c>
      <c r="H36" s="73" t="s">
        <v>333</v>
      </c>
      <c r="I36" s="73" t="s">
        <v>9</v>
      </c>
      <c r="J36" s="73" t="s">
        <v>321</v>
      </c>
      <c r="K36" s="73" t="s">
        <v>13</v>
      </c>
    </row>
    <row r="37" spans="1:19" s="2" customFormat="1" ht="14.25" customHeight="1" x14ac:dyDescent="0.3">
      <c r="A37" s="73" t="s">
        <v>325</v>
      </c>
      <c r="B37" s="74">
        <v>46092</v>
      </c>
      <c r="C37" s="75">
        <v>1</v>
      </c>
      <c r="D37" s="75">
        <v>0</v>
      </c>
      <c r="E37" s="73" t="s">
        <v>326</v>
      </c>
      <c r="F37" s="73" t="s">
        <v>98</v>
      </c>
      <c r="G37" s="73" t="s">
        <v>7</v>
      </c>
      <c r="H37" s="73" t="s">
        <v>23</v>
      </c>
      <c r="I37" s="73" t="s">
        <v>9</v>
      </c>
      <c r="J37" s="73" t="s">
        <v>327</v>
      </c>
      <c r="K37" s="73" t="s">
        <v>328</v>
      </c>
    </row>
    <row r="38" spans="1:19" s="2" customFormat="1" ht="14.25" customHeight="1" x14ac:dyDescent="0.3">
      <c r="A38" s="73" t="s">
        <v>329</v>
      </c>
      <c r="B38" s="74">
        <v>46092</v>
      </c>
      <c r="C38" s="75">
        <v>1</v>
      </c>
      <c r="D38" s="75">
        <v>0</v>
      </c>
      <c r="E38" s="73" t="s">
        <v>107</v>
      </c>
      <c r="F38" s="73" t="s">
        <v>200</v>
      </c>
      <c r="G38" s="73" t="s">
        <v>7</v>
      </c>
      <c r="H38" s="73" t="s">
        <v>64</v>
      </c>
      <c r="I38" s="73" t="s">
        <v>9</v>
      </c>
      <c r="J38" s="73" t="s">
        <v>50</v>
      </c>
      <c r="K38" s="73" t="s">
        <v>43</v>
      </c>
    </row>
    <row r="39" spans="1:19" s="2" customFormat="1" ht="14.25" customHeight="1" x14ac:dyDescent="0.3">
      <c r="A39" s="73" t="s">
        <v>330</v>
      </c>
      <c r="B39" s="74">
        <v>46092</v>
      </c>
      <c r="C39" s="75">
        <v>1</v>
      </c>
      <c r="D39" s="75">
        <v>0</v>
      </c>
      <c r="E39" s="73" t="s">
        <v>120</v>
      </c>
      <c r="F39" s="73" t="s">
        <v>200</v>
      </c>
      <c r="G39" s="73" t="s">
        <v>7</v>
      </c>
      <c r="H39" s="73" t="s">
        <v>148</v>
      </c>
      <c r="I39" s="73" t="s">
        <v>9</v>
      </c>
      <c r="J39" s="73" t="s">
        <v>121</v>
      </c>
      <c r="K39" s="73" t="s">
        <v>13</v>
      </c>
    </row>
    <row r="40" spans="1:19" s="2" customFormat="1" ht="14.25" customHeight="1" x14ac:dyDescent="0.3">
      <c r="A40" s="73" t="s">
        <v>335</v>
      </c>
      <c r="B40" s="74">
        <v>46093</v>
      </c>
      <c r="C40" s="75">
        <v>1</v>
      </c>
      <c r="D40" s="75">
        <v>0</v>
      </c>
      <c r="E40" s="73" t="s">
        <v>336</v>
      </c>
      <c r="F40" s="73" t="s">
        <v>98</v>
      </c>
      <c r="G40" s="73" t="s">
        <v>7</v>
      </c>
      <c r="H40" s="73" t="s">
        <v>17</v>
      </c>
      <c r="I40" s="73" t="s">
        <v>9</v>
      </c>
      <c r="J40" s="73" t="s">
        <v>175</v>
      </c>
      <c r="K40" s="73" t="s">
        <v>196</v>
      </c>
    </row>
    <row r="41" spans="1:19" ht="15" thickBot="1" x14ac:dyDescent="0.35">
      <c r="A41" s="40"/>
      <c r="B41" s="41"/>
      <c r="C41" s="42"/>
      <c r="D41" s="42"/>
      <c r="E41" s="40"/>
      <c r="F41" s="40"/>
      <c r="G41" s="40"/>
      <c r="H41" s="40"/>
      <c r="I41" s="40"/>
      <c r="J41" s="40"/>
      <c r="K41" s="40"/>
      <c r="P41" s="3"/>
      <c r="Q41" s="3"/>
      <c r="R41" s="4"/>
      <c r="S41" s="4"/>
    </row>
    <row r="42" spans="1:19" ht="15" thickBot="1" x14ac:dyDescent="0.35">
      <c r="B42" s="34" t="s">
        <v>31</v>
      </c>
      <c r="C42" s="12">
        <f>SUM(C4:C40)-SUM(D4:D40)</f>
        <v>61</v>
      </c>
      <c r="D42" s="29"/>
      <c r="F42" s="35" t="s">
        <v>57</v>
      </c>
      <c r="G42" s="36">
        <f>COUNTIF(I4:I39,"Pending")</f>
        <v>5</v>
      </c>
      <c r="I42" s="38" t="s">
        <v>58</v>
      </c>
      <c r="J42" s="39">
        <f>C42-G42</f>
        <v>56</v>
      </c>
    </row>
    <row r="43" spans="1:19" x14ac:dyDescent="0.3">
      <c r="G43" s="3"/>
      <c r="H43" s="4"/>
      <c r="I43" s="3"/>
    </row>
    <row r="44" spans="1:19" hidden="1" x14ac:dyDescent="0.3">
      <c r="D44" s="13"/>
    </row>
    <row r="45" spans="1:19" s="6" customFormat="1" ht="28.8" x14ac:dyDescent="0.3">
      <c r="A45" s="28" t="s">
        <v>0</v>
      </c>
      <c r="B45" s="28" t="s">
        <v>1</v>
      </c>
      <c r="C45" s="28" t="s">
        <v>2</v>
      </c>
      <c r="D45" s="28" t="s">
        <v>3</v>
      </c>
      <c r="E45" s="28" t="s">
        <v>4</v>
      </c>
      <c r="F45" s="28" t="s">
        <v>51</v>
      </c>
      <c r="G45" s="28" t="s">
        <v>52</v>
      </c>
      <c r="H45" s="28" t="s">
        <v>5</v>
      </c>
      <c r="I45" s="28" t="s">
        <v>53</v>
      </c>
      <c r="J45" s="28" t="s">
        <v>27</v>
      </c>
      <c r="K45" s="28" t="s">
        <v>6</v>
      </c>
    </row>
    <row r="46" spans="1:19" s="18" customFormat="1" ht="15" customHeight="1" x14ac:dyDescent="0.3">
      <c r="A46" s="73" t="s">
        <v>99</v>
      </c>
      <c r="B46" s="74">
        <v>46056</v>
      </c>
      <c r="C46" s="75">
        <v>1</v>
      </c>
      <c r="D46" s="75">
        <v>0</v>
      </c>
      <c r="E46" s="73" t="s">
        <v>166</v>
      </c>
      <c r="F46" s="73" t="s">
        <v>98</v>
      </c>
      <c r="G46" s="73" t="s">
        <v>32</v>
      </c>
      <c r="H46" s="73" t="s">
        <v>44</v>
      </c>
      <c r="I46" s="73" t="s">
        <v>20</v>
      </c>
      <c r="J46" s="73" t="s">
        <v>166</v>
      </c>
      <c r="K46" s="73" t="s">
        <v>13</v>
      </c>
    </row>
    <row r="47" spans="1:19" s="18" customFormat="1" ht="15" customHeight="1" x14ac:dyDescent="0.3">
      <c r="A47" s="73" t="s">
        <v>172</v>
      </c>
      <c r="B47" s="74">
        <v>46056</v>
      </c>
      <c r="C47" s="75">
        <v>1</v>
      </c>
      <c r="D47" s="75">
        <v>0</v>
      </c>
      <c r="E47" s="73" t="s">
        <v>173</v>
      </c>
      <c r="F47" s="73" t="s">
        <v>98</v>
      </c>
      <c r="G47" s="73" t="s">
        <v>32</v>
      </c>
      <c r="H47" s="73" t="s">
        <v>33</v>
      </c>
      <c r="I47" s="73" t="s">
        <v>20</v>
      </c>
      <c r="J47" s="73" t="s">
        <v>175</v>
      </c>
      <c r="K47" s="73" t="s">
        <v>176</v>
      </c>
    </row>
    <row r="48" spans="1:19" x14ac:dyDescent="0.3">
      <c r="A48" s="73" t="s">
        <v>261</v>
      </c>
      <c r="B48" s="74">
        <v>46091</v>
      </c>
      <c r="C48" s="75">
        <v>1</v>
      </c>
      <c r="D48" s="75">
        <v>0</v>
      </c>
      <c r="E48" s="73" t="s">
        <v>262</v>
      </c>
      <c r="F48" s="73" t="s">
        <v>98</v>
      </c>
      <c r="G48" s="73" t="s">
        <v>32</v>
      </c>
      <c r="H48" s="73" t="s">
        <v>17</v>
      </c>
      <c r="I48" s="73" t="s">
        <v>20</v>
      </c>
      <c r="J48" s="73" t="s">
        <v>191</v>
      </c>
      <c r="K48" s="73" t="s">
        <v>13</v>
      </c>
    </row>
    <row r="49" spans="1:29" ht="15" thickBot="1" x14ac:dyDescent="0.35">
      <c r="A49" s="51"/>
      <c r="B49" s="52"/>
      <c r="C49" s="53"/>
      <c r="D49" s="53"/>
      <c r="E49" s="51"/>
      <c r="F49" s="51"/>
      <c r="G49" s="51"/>
      <c r="H49" s="51"/>
      <c r="I49" s="51"/>
      <c r="J49" s="51"/>
      <c r="K49" s="2"/>
    </row>
    <row r="50" spans="1:29" ht="15" thickBot="1" x14ac:dyDescent="0.35">
      <c r="B50" s="60" t="s">
        <v>34</v>
      </c>
      <c r="C50" s="61">
        <v>3</v>
      </c>
      <c r="E50" s="2"/>
      <c r="F50" s="2"/>
      <c r="H50" s="2"/>
      <c r="J50" s="2"/>
      <c r="K50" s="2"/>
    </row>
    <row r="51" spans="1:29" x14ac:dyDescent="0.3">
      <c r="E51" s="2"/>
      <c r="F51" s="2"/>
      <c r="H51" s="2"/>
      <c r="J51" s="2"/>
      <c r="K51" s="2"/>
    </row>
    <row r="52" spans="1:29" hidden="1" x14ac:dyDescent="0.3">
      <c r="E52" s="2"/>
      <c r="F52" s="2"/>
      <c r="H52" s="2"/>
      <c r="J52" s="2"/>
      <c r="K52" s="2"/>
    </row>
    <row r="53" spans="1:29" s="2" customFormat="1" ht="34.35" customHeight="1" x14ac:dyDescent="0.3">
      <c r="A53" s="62" t="s">
        <v>0</v>
      </c>
      <c r="B53" s="62" t="s">
        <v>1</v>
      </c>
      <c r="C53" s="62" t="s">
        <v>2</v>
      </c>
      <c r="D53" s="62" t="s">
        <v>3</v>
      </c>
      <c r="E53" s="62" t="s">
        <v>4</v>
      </c>
      <c r="F53" s="62" t="s">
        <v>51</v>
      </c>
      <c r="G53" s="62" t="s">
        <v>52</v>
      </c>
      <c r="H53" s="62" t="s">
        <v>5</v>
      </c>
      <c r="I53" s="62" t="s">
        <v>53</v>
      </c>
      <c r="J53" s="62" t="s">
        <v>27</v>
      </c>
      <c r="K53" s="62" t="s">
        <v>6</v>
      </c>
    </row>
    <row r="54" spans="1:29" s="2" customFormat="1" x14ac:dyDescent="0.3">
      <c r="A54" s="73" t="s">
        <v>309</v>
      </c>
      <c r="B54" s="74">
        <v>46080</v>
      </c>
      <c r="C54" s="75">
        <v>1</v>
      </c>
      <c r="D54" s="75">
        <v>0</v>
      </c>
      <c r="E54" s="73" t="s">
        <v>263</v>
      </c>
      <c r="F54" s="73" t="s">
        <v>98</v>
      </c>
      <c r="G54" s="73" t="s">
        <v>55</v>
      </c>
      <c r="H54" s="73" t="s">
        <v>8</v>
      </c>
      <c r="I54" s="73" t="s">
        <v>20</v>
      </c>
      <c r="J54" s="73" t="s">
        <v>310</v>
      </c>
      <c r="K54" s="73" t="s">
        <v>311</v>
      </c>
      <c r="L54" s="4"/>
      <c r="M54" s="4"/>
      <c r="N54" s="4"/>
      <c r="O54" s="4"/>
      <c r="P54" s="4"/>
      <c r="Q54" s="4"/>
      <c r="R54" s="3"/>
      <c r="S54" s="3"/>
      <c r="T54" s="4"/>
      <c r="U54" s="4"/>
      <c r="V54" s="4"/>
      <c r="W54" s="4"/>
      <c r="X54" s="4"/>
      <c r="Y54" s="4"/>
      <c r="Z54" s="4"/>
      <c r="AA54" s="4"/>
      <c r="AB54" s="4"/>
      <c r="AC54" s="4"/>
    </row>
    <row r="55" spans="1:29" s="2" customFormat="1" x14ac:dyDescent="0.3">
      <c r="A55" s="73" t="s">
        <v>331</v>
      </c>
      <c r="B55" s="74">
        <v>46087</v>
      </c>
      <c r="C55" s="75">
        <v>1</v>
      </c>
      <c r="D55" s="75">
        <v>0</v>
      </c>
      <c r="E55" s="73" t="s">
        <v>332</v>
      </c>
      <c r="F55" s="73" t="s">
        <v>98</v>
      </c>
      <c r="G55" s="73" t="s">
        <v>55</v>
      </c>
      <c r="H55" s="73" t="s">
        <v>33</v>
      </c>
      <c r="I55" s="73" t="s">
        <v>20</v>
      </c>
      <c r="J55" s="73" t="s">
        <v>137</v>
      </c>
      <c r="K55" s="73" t="s">
        <v>13</v>
      </c>
      <c r="L55" s="4"/>
      <c r="M55" s="4"/>
      <c r="N55" s="4"/>
      <c r="O55" s="4"/>
      <c r="P55" s="4"/>
      <c r="Q55" s="4"/>
      <c r="R55" s="3"/>
      <c r="S55" s="3"/>
      <c r="T55" s="4"/>
      <c r="U55" s="4"/>
      <c r="V55" s="4"/>
      <c r="W55" s="4"/>
      <c r="X55" s="4"/>
      <c r="Y55" s="4"/>
      <c r="Z55" s="4"/>
      <c r="AA55" s="4"/>
      <c r="AB55" s="4"/>
      <c r="AC55" s="4"/>
    </row>
    <row r="56" spans="1:29" s="2" customFormat="1" x14ac:dyDescent="0.3">
      <c r="A56" s="73" t="s">
        <v>337</v>
      </c>
      <c r="B56" s="74">
        <v>46092</v>
      </c>
      <c r="C56" s="75">
        <v>1</v>
      </c>
      <c r="D56" s="75">
        <v>0</v>
      </c>
      <c r="E56" s="73" t="s">
        <v>90</v>
      </c>
      <c r="F56" s="73" t="s">
        <v>98</v>
      </c>
      <c r="G56" s="73" t="s">
        <v>55</v>
      </c>
      <c r="H56" s="73" t="s">
        <v>23</v>
      </c>
      <c r="I56" s="73" t="s">
        <v>20</v>
      </c>
      <c r="J56" s="73" t="s">
        <v>26</v>
      </c>
      <c r="K56" s="73" t="s">
        <v>91</v>
      </c>
      <c r="L56" s="4"/>
      <c r="M56" s="4"/>
      <c r="N56" s="4"/>
      <c r="O56" s="4"/>
      <c r="P56" s="4"/>
      <c r="Q56" s="4"/>
      <c r="R56" s="3"/>
      <c r="S56" s="3"/>
      <c r="T56" s="4"/>
      <c r="U56" s="4"/>
      <c r="V56" s="4"/>
      <c r="W56" s="4"/>
      <c r="X56" s="4"/>
      <c r="Y56" s="4"/>
      <c r="Z56" s="4"/>
      <c r="AA56" s="4"/>
      <c r="AB56" s="4"/>
      <c r="AC56" s="4"/>
    </row>
    <row r="57" spans="1:29" s="2" customFormat="1" x14ac:dyDescent="0.3">
      <c r="A57" s="73" t="s">
        <v>338</v>
      </c>
      <c r="B57" s="74">
        <v>46092</v>
      </c>
      <c r="C57" s="75">
        <v>1</v>
      </c>
      <c r="D57" s="75">
        <v>0</v>
      </c>
      <c r="E57" s="73" t="s">
        <v>320</v>
      </c>
      <c r="F57" s="73" t="s">
        <v>200</v>
      </c>
      <c r="G57" s="73" t="s">
        <v>55</v>
      </c>
      <c r="H57" s="73" t="s">
        <v>333</v>
      </c>
      <c r="I57" s="73" t="s">
        <v>20</v>
      </c>
      <c r="J57" s="73" t="s">
        <v>77</v>
      </c>
      <c r="K57" s="73" t="s">
        <v>13</v>
      </c>
      <c r="L57" s="4"/>
      <c r="M57" s="4"/>
      <c r="N57" s="4"/>
      <c r="O57" s="4"/>
      <c r="P57" s="4"/>
      <c r="Q57" s="4"/>
      <c r="R57" s="3"/>
      <c r="S57" s="3"/>
      <c r="T57" s="4"/>
      <c r="U57" s="4"/>
      <c r="V57" s="4"/>
      <c r="W57" s="4"/>
      <c r="X57" s="4"/>
      <c r="Y57" s="4"/>
      <c r="Z57" s="4"/>
      <c r="AA57" s="4"/>
      <c r="AB57" s="4"/>
      <c r="AC57" s="4"/>
    </row>
    <row r="58" spans="1:29" s="2" customFormat="1" x14ac:dyDescent="0.3">
      <c r="A58" s="73" t="s">
        <v>339</v>
      </c>
      <c r="B58" s="74">
        <v>46092</v>
      </c>
      <c r="C58" s="75">
        <v>1</v>
      </c>
      <c r="D58" s="75">
        <v>0</v>
      </c>
      <c r="E58" s="73" t="s">
        <v>214</v>
      </c>
      <c r="F58" s="73" t="s">
        <v>200</v>
      </c>
      <c r="G58" s="73" t="s">
        <v>55</v>
      </c>
      <c r="H58" s="73" t="s">
        <v>33</v>
      </c>
      <c r="I58" s="73" t="s">
        <v>20</v>
      </c>
      <c r="J58" s="73" t="s">
        <v>215</v>
      </c>
      <c r="K58" s="73" t="s">
        <v>194</v>
      </c>
      <c r="L58" s="4"/>
      <c r="M58" s="4"/>
      <c r="N58" s="4"/>
      <c r="O58" s="4"/>
      <c r="P58" s="4"/>
      <c r="Q58" s="4"/>
      <c r="R58" s="3"/>
      <c r="S58" s="3"/>
      <c r="T58" s="4"/>
      <c r="U58" s="4"/>
      <c r="V58" s="4"/>
      <c r="W58" s="4"/>
      <c r="X58" s="4"/>
      <c r="Y58" s="4"/>
      <c r="Z58" s="4"/>
      <c r="AA58" s="4"/>
      <c r="AB58" s="4"/>
      <c r="AC58" s="4"/>
    </row>
    <row r="59" spans="1:29" s="2" customFormat="1" ht="15" thickBot="1" x14ac:dyDescent="0.35">
      <c r="A59" s="77"/>
      <c r="B59" s="78"/>
      <c r="C59" s="79"/>
      <c r="D59" s="79"/>
      <c r="E59" s="77"/>
      <c r="F59" s="77"/>
      <c r="G59" s="77"/>
      <c r="H59" s="77"/>
      <c r="I59" s="77"/>
      <c r="J59" s="77"/>
      <c r="K59" s="77"/>
      <c r="L59" s="4"/>
      <c r="M59" s="4"/>
      <c r="N59" s="4"/>
      <c r="O59" s="4"/>
      <c r="P59" s="4"/>
      <c r="Q59" s="4"/>
      <c r="R59" s="3"/>
      <c r="S59" s="3"/>
      <c r="T59" s="4"/>
      <c r="U59" s="4"/>
      <c r="V59" s="4"/>
      <c r="W59" s="4"/>
      <c r="X59" s="4"/>
      <c r="Y59" s="4"/>
      <c r="Z59" s="4"/>
      <c r="AA59" s="4"/>
      <c r="AB59" s="4"/>
      <c r="AC59" s="4"/>
    </row>
    <row r="60" spans="1:29" ht="15" thickBot="1" x14ac:dyDescent="0.35">
      <c r="B60" s="38" t="s">
        <v>266</v>
      </c>
      <c r="C60" s="22">
        <v>5</v>
      </c>
    </row>
  </sheetData>
  <autoFilter ref="A3:J29" xr:uid="{6E392464-0CD5-4B6C-9B5A-A4EF4B03C567}">
    <sortState xmlns:xlrd2="http://schemas.microsoft.com/office/spreadsheetml/2017/richdata2" ref="A4:J39">
      <sortCondition ref="B3:B29"/>
    </sortState>
  </autoFilter>
  <conditionalFormatting sqref="F1:F40">
    <cfRule type="cellIs" dxfId="146" priority="8" operator="equal">
      <formula>"Non-Billable"</formula>
    </cfRule>
    <cfRule type="cellIs" dxfId="145" priority="9" operator="equal">
      <formula>"Billable"</formula>
    </cfRule>
  </conditionalFormatting>
  <conditionalFormatting sqref="F41">
    <cfRule type="cellIs" dxfId="144" priority="56" operator="equal">
      <formula>"Not Accepting Application"</formula>
    </cfRule>
    <cfRule type="cellIs" dxfId="143" priority="57" operator="equal">
      <formula>"Y"</formula>
    </cfRule>
  </conditionalFormatting>
  <conditionalFormatting sqref="F43:F1048576">
    <cfRule type="cellIs" dxfId="142" priority="2" operator="equal">
      <formula>"Non-Billable"</formula>
    </cfRule>
    <cfRule type="cellIs" dxfId="141" priority="3" operator="equal">
      <formula>"Billable"</formula>
    </cfRule>
  </conditionalFormatting>
  <conditionalFormatting sqref="H1:H2 H4:H40 F41 H42:H44 H46:H52 H54:H1048576">
    <cfRule type="cellIs" dxfId="140" priority="54" operator="equal">
      <formula>"Not accpeting applications"</formula>
    </cfRule>
  </conditionalFormatting>
  <conditionalFormatting sqref="H1:H2 H4:H40 H42:H44 H46:H52 AG54:AG60 H54:H1048576">
    <cfRule type="cellIs" dxfId="139" priority="53" operator="equal">
      <formula>"Not Accepting Applications"</formula>
    </cfRule>
  </conditionalFormatting>
  <conditionalFormatting sqref="H4:H40">
    <cfRule type="cellIs" dxfId="138" priority="55" operator="equal">
      <formula>"Accepting Applications"</formula>
    </cfRule>
  </conditionalFormatting>
  <conditionalFormatting sqref="H46:H47">
    <cfRule type="cellIs" dxfId="137" priority="58" operator="equal">
      <formula>"Not Accepting Application"</formula>
    </cfRule>
    <cfRule type="cellIs" dxfId="136" priority="59" operator="equal">
      <formula>"Accepting Applications"</formula>
    </cfRule>
    <cfRule type="cellIs" dxfId="135" priority="60" operator="equal">
      <formula>"Y"</formula>
    </cfRule>
  </conditionalFormatting>
  <conditionalFormatting sqref="H56">
    <cfRule type="cellIs" dxfId="134" priority="1" operator="equal">
      <formula>"Accepting Applications"</formula>
    </cfRule>
  </conditionalFormatting>
  <conditionalFormatting sqref="I1:I40 F41:G41 I43:I1048576">
    <cfRule type="cellIs" dxfId="133" priority="51" operator="equal">
      <formula>"Accepting Applications"</formula>
    </cfRule>
    <cfRule type="cellIs" dxfId="132" priority="52" operator="equal">
      <formula>"Not Accepting Applications"</formula>
    </cfRule>
  </conditionalFormatting>
  <conditionalFormatting sqref="I1:I40 G41 I43:I1048576">
    <cfRule type="cellIs" dxfId="131" priority="50" operator="equal">
      <formula>"Pending"</formula>
    </cfRule>
  </conditionalFormatting>
  <pageMargins left="0.7" right="0.7" top="0.75" bottom="0.75" header="0.3" footer="0.3"/>
  <pageSetup orientation="landscape" horizontalDpi="4294967295" verticalDpi="4294967295"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A05A9-ADDF-4500-A8D7-86FEDBF02C27}">
  <sheetPr>
    <tabColor theme="2" tint="-0.499984740745262"/>
  </sheetPr>
  <dimension ref="A1:AC61"/>
  <sheetViews>
    <sheetView showGridLines="0" topLeftCell="A29" zoomScale="80" zoomScaleNormal="80" workbookViewId="0">
      <selection activeCell="F54" sqref="F54"/>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0.33333333333333331</v>
      </c>
      <c r="B1" s="37">
        <v>46090</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73" t="s">
        <v>74</v>
      </c>
      <c r="B4" s="74">
        <v>46076</v>
      </c>
      <c r="C4" s="75">
        <v>1</v>
      </c>
      <c r="D4" s="75">
        <v>0</v>
      </c>
      <c r="E4" s="73" t="s">
        <v>75</v>
      </c>
      <c r="F4" s="73" t="s">
        <v>98</v>
      </c>
      <c r="G4" s="73" t="s">
        <v>7</v>
      </c>
      <c r="H4" s="73" t="s">
        <v>47</v>
      </c>
      <c r="I4" s="73" t="s">
        <v>9</v>
      </c>
      <c r="J4" s="73" t="s">
        <v>77</v>
      </c>
      <c r="K4" s="73" t="s">
        <v>13</v>
      </c>
      <c r="AB4" s="2" t="s">
        <v>10</v>
      </c>
      <c r="AC4" s="2" t="s">
        <v>11</v>
      </c>
    </row>
    <row r="5" spans="1:29" s="2" customFormat="1" x14ac:dyDescent="0.3">
      <c r="A5" s="73" t="s">
        <v>128</v>
      </c>
      <c r="B5" s="74">
        <v>46035</v>
      </c>
      <c r="C5" s="75">
        <v>1</v>
      </c>
      <c r="D5" s="75">
        <v>0</v>
      </c>
      <c r="E5" s="73" t="s">
        <v>129</v>
      </c>
      <c r="F5" s="73" t="s">
        <v>200</v>
      </c>
      <c r="G5" s="73" t="s">
        <v>7</v>
      </c>
      <c r="H5" s="73" t="s">
        <v>64</v>
      </c>
      <c r="I5" s="73" t="s">
        <v>9</v>
      </c>
      <c r="J5" s="73" t="s">
        <v>65</v>
      </c>
      <c r="K5" s="73" t="s">
        <v>48</v>
      </c>
      <c r="AB5" s="2" t="s">
        <v>14</v>
      </c>
      <c r="AC5" s="2">
        <v>17</v>
      </c>
    </row>
    <row r="6" spans="1:29" s="2" customFormat="1" x14ac:dyDescent="0.3">
      <c r="A6" s="73" t="s">
        <v>157</v>
      </c>
      <c r="B6" s="74">
        <v>46063</v>
      </c>
      <c r="C6" s="75">
        <v>1</v>
      </c>
      <c r="D6" s="75">
        <v>0</v>
      </c>
      <c r="E6" s="73" t="s">
        <v>158</v>
      </c>
      <c r="F6" s="73" t="s">
        <v>98</v>
      </c>
      <c r="G6" s="73" t="s">
        <v>7</v>
      </c>
      <c r="H6" s="73" t="s">
        <v>17</v>
      </c>
      <c r="I6" s="73" t="s">
        <v>9</v>
      </c>
      <c r="J6" s="73" t="s">
        <v>159</v>
      </c>
      <c r="K6" s="73" t="s">
        <v>28</v>
      </c>
      <c r="N6" s="10"/>
      <c r="AB6" s="2" t="s">
        <v>15</v>
      </c>
      <c r="AC6" s="2">
        <v>3</v>
      </c>
    </row>
    <row r="7" spans="1:29" s="2" customFormat="1" x14ac:dyDescent="0.3">
      <c r="A7" s="73" t="s">
        <v>163</v>
      </c>
      <c r="B7" s="74">
        <v>46069</v>
      </c>
      <c r="C7" s="75">
        <v>1</v>
      </c>
      <c r="D7" s="75">
        <v>0</v>
      </c>
      <c r="E7" s="73" t="s">
        <v>164</v>
      </c>
      <c r="F7" s="73" t="s">
        <v>98</v>
      </c>
      <c r="G7" s="73" t="s">
        <v>7</v>
      </c>
      <c r="H7" s="73" t="s">
        <v>18</v>
      </c>
      <c r="I7" s="73" t="s">
        <v>56</v>
      </c>
      <c r="J7" s="73" t="s">
        <v>165</v>
      </c>
      <c r="K7" s="73" t="s">
        <v>13</v>
      </c>
      <c r="N7" s="10"/>
      <c r="V7" s="11"/>
      <c r="AB7" s="2" t="s">
        <v>16</v>
      </c>
      <c r="AC7" s="2">
        <v>4</v>
      </c>
    </row>
    <row r="8" spans="1:29" s="2" customFormat="1" x14ac:dyDescent="0.3">
      <c r="A8" s="73" t="s">
        <v>202</v>
      </c>
      <c r="B8" s="74">
        <v>46077</v>
      </c>
      <c r="C8" s="75">
        <v>1</v>
      </c>
      <c r="D8" s="75">
        <v>0</v>
      </c>
      <c r="E8" s="73" t="s">
        <v>54</v>
      </c>
      <c r="F8" s="73" t="s">
        <v>98</v>
      </c>
      <c r="G8" s="73" t="s">
        <v>7</v>
      </c>
      <c r="H8" s="73" t="s">
        <v>18</v>
      </c>
      <c r="I8" s="73" t="s">
        <v>56</v>
      </c>
      <c r="J8" s="73" t="s">
        <v>203</v>
      </c>
      <c r="K8" s="73" t="s">
        <v>19</v>
      </c>
      <c r="N8" s="10"/>
    </row>
    <row r="9" spans="1:29" s="2" customFormat="1" x14ac:dyDescent="0.3">
      <c r="A9" s="73" t="s">
        <v>204</v>
      </c>
      <c r="B9" s="74">
        <v>46083</v>
      </c>
      <c r="C9" s="75">
        <v>1</v>
      </c>
      <c r="D9" s="75">
        <v>0</v>
      </c>
      <c r="E9" s="73" t="s">
        <v>205</v>
      </c>
      <c r="F9" s="73" t="s">
        <v>98</v>
      </c>
      <c r="G9" s="73" t="s">
        <v>7</v>
      </c>
      <c r="H9" s="73" t="s">
        <v>18</v>
      </c>
      <c r="I9" s="73" t="s">
        <v>56</v>
      </c>
      <c r="J9" s="73" t="s">
        <v>206</v>
      </c>
      <c r="K9" s="73" t="s">
        <v>13</v>
      </c>
    </row>
    <row r="10" spans="1:29" s="2" customFormat="1" x14ac:dyDescent="0.3">
      <c r="A10" s="73" t="s">
        <v>209</v>
      </c>
      <c r="B10" s="74">
        <v>46063</v>
      </c>
      <c r="C10" s="75">
        <v>1</v>
      </c>
      <c r="D10" s="75">
        <v>0</v>
      </c>
      <c r="E10" s="73" t="s">
        <v>210</v>
      </c>
      <c r="F10" s="73" t="s">
        <v>98</v>
      </c>
      <c r="G10" s="73" t="s">
        <v>7</v>
      </c>
      <c r="H10" s="73" t="s">
        <v>17</v>
      </c>
      <c r="I10" s="73" t="s">
        <v>9</v>
      </c>
      <c r="J10" s="73" t="s">
        <v>206</v>
      </c>
      <c r="K10" s="73" t="s">
        <v>13</v>
      </c>
    </row>
    <row r="11" spans="1:29" s="2" customFormat="1" x14ac:dyDescent="0.3">
      <c r="A11" s="73" t="s">
        <v>221</v>
      </c>
      <c r="B11" s="74">
        <v>46085</v>
      </c>
      <c r="C11" s="75">
        <v>2</v>
      </c>
      <c r="D11" s="75">
        <v>0</v>
      </c>
      <c r="E11" s="73" t="s">
        <v>201</v>
      </c>
      <c r="F11" s="73" t="s">
        <v>200</v>
      </c>
      <c r="G11" s="73" t="s">
        <v>7</v>
      </c>
      <c r="H11" s="73" t="s">
        <v>312</v>
      </c>
      <c r="I11" s="73" t="s">
        <v>9</v>
      </c>
      <c r="J11" s="73" t="s">
        <v>105</v>
      </c>
      <c r="K11" s="73" t="s">
        <v>43</v>
      </c>
    </row>
    <row r="12" spans="1:29" s="2" customFormat="1" x14ac:dyDescent="0.3">
      <c r="A12" s="73" t="s">
        <v>222</v>
      </c>
      <c r="B12" s="74">
        <v>46079</v>
      </c>
      <c r="C12" s="75">
        <v>1</v>
      </c>
      <c r="D12" s="75">
        <v>0</v>
      </c>
      <c r="E12" s="73" t="s">
        <v>223</v>
      </c>
      <c r="F12" s="73" t="s">
        <v>200</v>
      </c>
      <c r="G12" s="73" t="s">
        <v>7</v>
      </c>
      <c r="H12" s="73" t="s">
        <v>305</v>
      </c>
      <c r="I12" s="73" t="s">
        <v>9</v>
      </c>
      <c r="J12" s="73" t="s">
        <v>180</v>
      </c>
      <c r="K12" s="73" t="s">
        <v>13</v>
      </c>
    </row>
    <row r="13" spans="1:29" s="2" customFormat="1" x14ac:dyDescent="0.3">
      <c r="A13" s="73" t="s">
        <v>226</v>
      </c>
      <c r="B13" s="74">
        <v>46079</v>
      </c>
      <c r="C13" s="75">
        <v>2</v>
      </c>
      <c r="D13" s="75">
        <v>1</v>
      </c>
      <c r="E13" s="73" t="s">
        <v>227</v>
      </c>
      <c r="F13" s="73" t="s">
        <v>200</v>
      </c>
      <c r="G13" s="73" t="s">
        <v>7</v>
      </c>
      <c r="H13" s="73" t="s">
        <v>306</v>
      </c>
      <c r="I13" s="73" t="s">
        <v>9</v>
      </c>
      <c r="J13" s="73" t="s">
        <v>180</v>
      </c>
      <c r="K13" s="73" t="s">
        <v>13</v>
      </c>
    </row>
    <row r="14" spans="1:29" s="2" customFormat="1" x14ac:dyDescent="0.3">
      <c r="A14" s="73" t="s">
        <v>228</v>
      </c>
      <c r="B14" s="74">
        <v>46085</v>
      </c>
      <c r="C14" s="75">
        <v>1</v>
      </c>
      <c r="D14" s="75">
        <v>0</v>
      </c>
      <c r="E14" s="73" t="s">
        <v>30</v>
      </c>
      <c r="F14" s="73" t="s">
        <v>200</v>
      </c>
      <c r="G14" s="73" t="s">
        <v>7</v>
      </c>
      <c r="H14" s="73" t="s">
        <v>313</v>
      </c>
      <c r="I14" s="73" t="s">
        <v>9</v>
      </c>
      <c r="J14" s="73" t="s">
        <v>12</v>
      </c>
      <c r="K14" s="73" t="s">
        <v>24</v>
      </c>
    </row>
    <row r="15" spans="1:29" s="2" customFormat="1" x14ac:dyDescent="0.3">
      <c r="A15" s="73" t="s">
        <v>229</v>
      </c>
      <c r="B15" s="74">
        <v>46065</v>
      </c>
      <c r="C15" s="75">
        <v>3</v>
      </c>
      <c r="D15" s="75">
        <v>2</v>
      </c>
      <c r="E15" s="73" t="s">
        <v>45</v>
      </c>
      <c r="F15" s="73" t="s">
        <v>200</v>
      </c>
      <c r="G15" s="73" t="s">
        <v>7</v>
      </c>
      <c r="H15" s="73" t="s">
        <v>272</v>
      </c>
      <c r="I15" s="73" t="s">
        <v>20</v>
      </c>
      <c r="J15" s="73" t="s">
        <v>121</v>
      </c>
      <c r="K15" s="73" t="s">
        <v>13</v>
      </c>
    </row>
    <row r="16" spans="1:29" s="2" customFormat="1" x14ac:dyDescent="0.3">
      <c r="A16" s="73" t="s">
        <v>230</v>
      </c>
      <c r="B16" s="74">
        <v>46065</v>
      </c>
      <c r="C16" s="75">
        <v>1</v>
      </c>
      <c r="D16" s="75">
        <v>0</v>
      </c>
      <c r="E16" s="73" t="s">
        <v>263</v>
      </c>
      <c r="F16" s="73" t="s">
        <v>200</v>
      </c>
      <c r="G16" s="73" t="s">
        <v>7</v>
      </c>
      <c r="H16" s="73" t="s">
        <v>23</v>
      </c>
      <c r="I16" s="73" t="s">
        <v>9</v>
      </c>
      <c r="J16" s="73" t="s">
        <v>12</v>
      </c>
      <c r="K16" s="73" t="s">
        <v>24</v>
      </c>
    </row>
    <row r="17" spans="1:11" s="2" customFormat="1" x14ac:dyDescent="0.3">
      <c r="A17" s="73" t="s">
        <v>234</v>
      </c>
      <c r="B17" s="74">
        <v>46056</v>
      </c>
      <c r="C17" s="75">
        <v>30</v>
      </c>
      <c r="D17" s="75">
        <v>7</v>
      </c>
      <c r="E17" s="73" t="s">
        <v>45</v>
      </c>
      <c r="F17" s="73" t="s">
        <v>200</v>
      </c>
      <c r="G17" s="73" t="s">
        <v>7</v>
      </c>
      <c r="H17" s="73" t="s">
        <v>259</v>
      </c>
      <c r="I17" s="73" t="s">
        <v>20</v>
      </c>
      <c r="J17" s="73" t="s">
        <v>49</v>
      </c>
      <c r="K17" s="73" t="s">
        <v>91</v>
      </c>
    </row>
    <row r="18" spans="1:11" s="2" customFormat="1" x14ac:dyDescent="0.3">
      <c r="A18" s="73" t="s">
        <v>243</v>
      </c>
      <c r="B18" s="74">
        <v>46085</v>
      </c>
      <c r="C18" s="75">
        <v>1</v>
      </c>
      <c r="D18" s="75">
        <v>0</v>
      </c>
      <c r="E18" s="73" t="s">
        <v>244</v>
      </c>
      <c r="F18" s="73" t="s">
        <v>98</v>
      </c>
      <c r="G18" s="73" t="s">
        <v>7</v>
      </c>
      <c r="H18" s="73" t="s">
        <v>33</v>
      </c>
      <c r="I18" s="73" t="s">
        <v>20</v>
      </c>
      <c r="J18" s="73" t="s">
        <v>103</v>
      </c>
      <c r="K18" s="73" t="s">
        <v>21</v>
      </c>
    </row>
    <row r="19" spans="1:11" s="2" customFormat="1" ht="15" customHeight="1" x14ac:dyDescent="0.3">
      <c r="A19" s="73" t="s">
        <v>246</v>
      </c>
      <c r="B19" s="74">
        <v>46084</v>
      </c>
      <c r="C19" s="75">
        <v>1</v>
      </c>
      <c r="D19" s="75">
        <v>0</v>
      </c>
      <c r="E19" s="73" t="s">
        <v>232</v>
      </c>
      <c r="F19" s="73" t="s">
        <v>200</v>
      </c>
      <c r="G19" s="73" t="s">
        <v>7</v>
      </c>
      <c r="H19" s="73" t="s">
        <v>64</v>
      </c>
      <c r="I19" s="73" t="s">
        <v>9</v>
      </c>
      <c r="J19" s="73" t="s">
        <v>65</v>
      </c>
      <c r="K19" s="73" t="s">
        <v>48</v>
      </c>
    </row>
    <row r="20" spans="1:11" s="2" customFormat="1" ht="13.95" customHeight="1" x14ac:dyDescent="0.3">
      <c r="A20" s="73" t="s">
        <v>247</v>
      </c>
      <c r="B20" s="74">
        <v>46085</v>
      </c>
      <c r="C20" s="75">
        <v>1</v>
      </c>
      <c r="D20" s="75">
        <v>0</v>
      </c>
      <c r="E20" s="73" t="s">
        <v>120</v>
      </c>
      <c r="F20" s="73" t="s">
        <v>200</v>
      </c>
      <c r="G20" s="73" t="s">
        <v>7</v>
      </c>
      <c r="H20" s="73" t="s">
        <v>314</v>
      </c>
      <c r="I20" s="73" t="s">
        <v>9</v>
      </c>
      <c r="J20" s="73" t="s">
        <v>248</v>
      </c>
      <c r="K20" s="73" t="s">
        <v>43</v>
      </c>
    </row>
    <row r="21" spans="1:11" s="2" customFormat="1" x14ac:dyDescent="0.3">
      <c r="A21" s="73" t="s">
        <v>249</v>
      </c>
      <c r="B21" s="74">
        <v>46076</v>
      </c>
      <c r="C21" s="75">
        <v>2</v>
      </c>
      <c r="D21" s="75">
        <v>0</v>
      </c>
      <c r="E21" s="73" t="s">
        <v>45</v>
      </c>
      <c r="F21" s="73" t="s">
        <v>200</v>
      </c>
      <c r="G21" s="73" t="s">
        <v>7</v>
      </c>
      <c r="H21" s="73" t="s">
        <v>27</v>
      </c>
      <c r="I21" s="73" t="s">
        <v>20</v>
      </c>
      <c r="J21" s="73" t="s">
        <v>121</v>
      </c>
      <c r="K21" s="73" t="s">
        <v>13</v>
      </c>
    </row>
    <row r="22" spans="1:11" s="2" customFormat="1" x14ac:dyDescent="0.3">
      <c r="A22" s="73" t="s">
        <v>253</v>
      </c>
      <c r="B22" s="74">
        <v>46069</v>
      </c>
      <c r="C22" s="75">
        <v>1</v>
      </c>
      <c r="D22" s="75">
        <v>0</v>
      </c>
      <c r="E22" s="73" t="s">
        <v>244</v>
      </c>
      <c r="F22" s="73" t="s">
        <v>98</v>
      </c>
      <c r="G22" s="73" t="s">
        <v>7</v>
      </c>
      <c r="H22" s="73" t="s">
        <v>33</v>
      </c>
      <c r="I22" s="73" t="s">
        <v>20</v>
      </c>
      <c r="J22" s="73" t="s">
        <v>103</v>
      </c>
      <c r="K22" s="73" t="s">
        <v>21</v>
      </c>
    </row>
    <row r="23" spans="1:11" s="2" customFormat="1" x14ac:dyDescent="0.3">
      <c r="A23" s="73" t="s">
        <v>254</v>
      </c>
      <c r="B23" s="74">
        <v>46069</v>
      </c>
      <c r="C23" s="75">
        <v>1</v>
      </c>
      <c r="D23" s="75">
        <v>0</v>
      </c>
      <c r="E23" s="73" t="s">
        <v>101</v>
      </c>
      <c r="F23" s="73" t="s">
        <v>98</v>
      </c>
      <c r="G23" s="73" t="s">
        <v>7</v>
      </c>
      <c r="H23" s="73" t="s">
        <v>33</v>
      </c>
      <c r="I23" s="73" t="s">
        <v>20</v>
      </c>
      <c r="J23" s="73" t="s">
        <v>103</v>
      </c>
      <c r="K23" s="73" t="s">
        <v>21</v>
      </c>
    </row>
    <row r="24" spans="1:11" s="2" customFormat="1" ht="15" customHeight="1" x14ac:dyDescent="0.3">
      <c r="A24" s="73" t="s">
        <v>261</v>
      </c>
      <c r="B24" s="74">
        <v>46066</v>
      </c>
      <c r="C24" s="75">
        <v>1</v>
      </c>
      <c r="D24" s="75">
        <v>0</v>
      </c>
      <c r="E24" s="73" t="s">
        <v>262</v>
      </c>
      <c r="F24" s="73" t="s">
        <v>98</v>
      </c>
      <c r="G24" s="73" t="s">
        <v>7</v>
      </c>
      <c r="H24" s="73" t="s">
        <v>17</v>
      </c>
      <c r="I24" s="73" t="s">
        <v>9</v>
      </c>
      <c r="J24" s="73" t="s">
        <v>191</v>
      </c>
      <c r="K24" s="73" t="s">
        <v>13</v>
      </c>
    </row>
    <row r="25" spans="1:11" s="2" customFormat="1" x14ac:dyDescent="0.3">
      <c r="A25" s="73" t="s">
        <v>267</v>
      </c>
      <c r="B25" s="74">
        <v>46077</v>
      </c>
      <c r="C25" s="75">
        <v>1</v>
      </c>
      <c r="D25" s="75">
        <v>0</v>
      </c>
      <c r="E25" s="73" t="s">
        <v>268</v>
      </c>
      <c r="F25" s="73" t="s">
        <v>98</v>
      </c>
      <c r="G25" s="73" t="s">
        <v>7</v>
      </c>
      <c r="H25" s="73" t="s">
        <v>27</v>
      </c>
      <c r="I25" s="73" t="s">
        <v>9</v>
      </c>
      <c r="J25" s="73" t="s">
        <v>269</v>
      </c>
      <c r="K25" s="73" t="s">
        <v>22</v>
      </c>
    </row>
    <row r="26" spans="1:11" s="2" customFormat="1" x14ac:dyDescent="0.3">
      <c r="A26" s="73" t="s">
        <v>270</v>
      </c>
      <c r="B26" s="74">
        <v>46079</v>
      </c>
      <c r="C26" s="75">
        <v>1</v>
      </c>
      <c r="D26" s="75">
        <v>0</v>
      </c>
      <c r="E26" s="73" t="s">
        <v>25</v>
      </c>
      <c r="F26" s="73" t="s">
        <v>200</v>
      </c>
      <c r="G26" s="73" t="s">
        <v>7</v>
      </c>
      <c r="H26" s="73" t="s">
        <v>64</v>
      </c>
      <c r="I26" s="73" t="s">
        <v>9</v>
      </c>
      <c r="J26" s="73" t="s">
        <v>271</v>
      </c>
      <c r="K26" s="73" t="s">
        <v>19</v>
      </c>
    </row>
    <row r="27" spans="1:11" s="2" customFormat="1" x14ac:dyDescent="0.3">
      <c r="A27" s="73" t="s">
        <v>277</v>
      </c>
      <c r="B27" s="74">
        <v>46076</v>
      </c>
      <c r="C27" s="75">
        <v>1</v>
      </c>
      <c r="D27" s="75">
        <v>0</v>
      </c>
      <c r="E27" s="73" t="s">
        <v>283</v>
      </c>
      <c r="F27" s="73" t="s">
        <v>98</v>
      </c>
      <c r="G27" s="73" t="s">
        <v>7</v>
      </c>
      <c r="H27" s="73" t="s">
        <v>47</v>
      </c>
      <c r="I27" s="73" t="s">
        <v>9</v>
      </c>
      <c r="J27" s="73" t="s">
        <v>134</v>
      </c>
      <c r="K27" s="73" t="s">
        <v>13</v>
      </c>
    </row>
    <row r="28" spans="1:11" s="2" customFormat="1" x14ac:dyDescent="0.3">
      <c r="A28" s="73" t="s">
        <v>284</v>
      </c>
      <c r="B28" s="74">
        <v>46085</v>
      </c>
      <c r="C28" s="75">
        <v>1</v>
      </c>
      <c r="D28" s="75">
        <v>0</v>
      </c>
      <c r="E28" s="73" t="s">
        <v>285</v>
      </c>
      <c r="F28" s="73" t="s">
        <v>98</v>
      </c>
      <c r="G28" s="73" t="s">
        <v>7</v>
      </c>
      <c r="H28" s="73" t="s">
        <v>315</v>
      </c>
      <c r="I28" s="73" t="s">
        <v>9</v>
      </c>
      <c r="J28" s="73" t="s">
        <v>286</v>
      </c>
      <c r="K28" s="73" t="s">
        <v>287</v>
      </c>
    </row>
    <row r="29" spans="1:11" s="2" customFormat="1" x14ac:dyDescent="0.3">
      <c r="A29" s="73" t="s">
        <v>296</v>
      </c>
      <c r="B29" s="74">
        <v>46083</v>
      </c>
      <c r="C29" s="75">
        <v>1</v>
      </c>
      <c r="D29" s="75">
        <v>0</v>
      </c>
      <c r="E29" s="73" t="s">
        <v>297</v>
      </c>
      <c r="F29" s="73" t="s">
        <v>98</v>
      </c>
      <c r="G29" s="73" t="s">
        <v>7</v>
      </c>
      <c r="H29" s="73" t="s">
        <v>33</v>
      </c>
      <c r="I29" s="73" t="s">
        <v>20</v>
      </c>
      <c r="J29" s="73" t="s">
        <v>298</v>
      </c>
      <c r="K29" s="73" t="s">
        <v>21</v>
      </c>
    </row>
    <row r="30" spans="1:11" s="2" customFormat="1" ht="13.95" customHeight="1" x14ac:dyDescent="0.3">
      <c r="A30" s="73" t="s">
        <v>291</v>
      </c>
      <c r="B30" s="74">
        <v>46078</v>
      </c>
      <c r="C30" s="75">
        <v>1</v>
      </c>
      <c r="D30" s="75">
        <v>0</v>
      </c>
      <c r="E30" s="73" t="s">
        <v>292</v>
      </c>
      <c r="F30" s="73" t="s">
        <v>98</v>
      </c>
      <c r="G30" s="73" t="s">
        <v>7</v>
      </c>
      <c r="H30" s="73" t="s">
        <v>44</v>
      </c>
      <c r="I30" s="73" t="s">
        <v>9</v>
      </c>
      <c r="J30" s="73" t="s">
        <v>95</v>
      </c>
      <c r="K30" s="73" t="s">
        <v>13</v>
      </c>
    </row>
    <row r="31" spans="1:11" s="2" customFormat="1" ht="14.25" customHeight="1" x14ac:dyDescent="0.3">
      <c r="A31" s="73" t="s">
        <v>299</v>
      </c>
      <c r="B31" s="74">
        <v>46085</v>
      </c>
      <c r="C31" s="75">
        <v>1</v>
      </c>
      <c r="D31" s="75">
        <v>0</v>
      </c>
      <c r="E31" s="73" t="s">
        <v>46</v>
      </c>
      <c r="F31" s="73" t="s">
        <v>200</v>
      </c>
      <c r="G31" s="73" t="s">
        <v>7</v>
      </c>
      <c r="H31" s="73" t="s">
        <v>27</v>
      </c>
      <c r="I31" s="73" t="s">
        <v>9</v>
      </c>
      <c r="J31" s="73" t="s">
        <v>49</v>
      </c>
      <c r="K31" s="73" t="s">
        <v>48</v>
      </c>
    </row>
    <row r="32" spans="1:11" s="2" customFormat="1" ht="14.25" customHeight="1" x14ac:dyDescent="0.3">
      <c r="A32" s="73" t="s">
        <v>300</v>
      </c>
      <c r="B32" s="74">
        <v>46086</v>
      </c>
      <c r="C32" s="75">
        <v>1</v>
      </c>
      <c r="D32" s="75">
        <v>0</v>
      </c>
      <c r="E32" s="73" t="s">
        <v>301</v>
      </c>
      <c r="F32" s="73" t="s">
        <v>200</v>
      </c>
      <c r="G32" s="73" t="s">
        <v>7</v>
      </c>
      <c r="H32" s="73" t="s">
        <v>23</v>
      </c>
      <c r="I32" s="73" t="s">
        <v>9</v>
      </c>
      <c r="J32" s="73" t="s">
        <v>302</v>
      </c>
      <c r="K32" s="73" t="s">
        <v>91</v>
      </c>
    </row>
    <row r="33" spans="1:19" s="2" customFormat="1" ht="14.25" customHeight="1" x14ac:dyDescent="0.3">
      <c r="A33" s="73" t="s">
        <v>303</v>
      </c>
      <c r="B33" s="74">
        <v>46084</v>
      </c>
      <c r="C33" s="75">
        <v>1</v>
      </c>
      <c r="D33" s="75">
        <v>0</v>
      </c>
      <c r="E33" s="73" t="s">
        <v>240</v>
      </c>
      <c r="F33" s="73" t="s">
        <v>98</v>
      </c>
      <c r="G33" s="73" t="s">
        <v>7</v>
      </c>
      <c r="H33" s="73" t="s">
        <v>316</v>
      </c>
      <c r="I33" s="73" t="s">
        <v>20</v>
      </c>
      <c r="J33" s="73" t="s">
        <v>186</v>
      </c>
      <c r="K33" s="73" t="s">
        <v>194</v>
      </c>
    </row>
    <row r="34" spans="1:19" s="2" customFormat="1" ht="14.25" customHeight="1" x14ac:dyDescent="0.3">
      <c r="A34" s="73" t="s">
        <v>304</v>
      </c>
      <c r="B34" s="74">
        <v>46085</v>
      </c>
      <c r="C34" s="75">
        <v>1</v>
      </c>
      <c r="D34" s="75">
        <v>0</v>
      </c>
      <c r="E34" s="73" t="s">
        <v>136</v>
      </c>
      <c r="F34" s="73" t="s">
        <v>200</v>
      </c>
      <c r="G34" s="73" t="s">
        <v>7</v>
      </c>
      <c r="H34" s="73" t="s">
        <v>23</v>
      </c>
      <c r="I34" s="73" t="s">
        <v>9</v>
      </c>
      <c r="J34" s="73" t="s">
        <v>137</v>
      </c>
      <c r="K34" s="73" t="s">
        <v>13</v>
      </c>
    </row>
    <row r="35" spans="1:19" s="2" customFormat="1" ht="14.25" customHeight="1" x14ac:dyDescent="0.3">
      <c r="A35" s="73" t="s">
        <v>307</v>
      </c>
      <c r="B35" s="74">
        <v>46085</v>
      </c>
      <c r="C35" s="75">
        <v>1</v>
      </c>
      <c r="D35" s="75">
        <v>0</v>
      </c>
      <c r="E35" s="73" t="s">
        <v>29</v>
      </c>
      <c r="F35" s="73" t="s">
        <v>200</v>
      </c>
      <c r="G35" s="73" t="s">
        <v>7</v>
      </c>
      <c r="H35" s="73" t="s">
        <v>33</v>
      </c>
      <c r="I35" s="73" t="s">
        <v>20</v>
      </c>
      <c r="J35" s="73" t="s">
        <v>33</v>
      </c>
      <c r="K35" s="73" t="s">
        <v>308</v>
      </c>
    </row>
    <row r="36" spans="1:19" s="2" customFormat="1" ht="14.25" customHeight="1" x14ac:dyDescent="0.3">
      <c r="A36" s="73" t="s">
        <v>317</v>
      </c>
      <c r="B36" s="74">
        <v>46090</v>
      </c>
      <c r="C36" s="75">
        <v>1</v>
      </c>
      <c r="D36" s="75">
        <v>0</v>
      </c>
      <c r="E36" s="73" t="s">
        <v>318</v>
      </c>
      <c r="F36" s="73" t="s">
        <v>200</v>
      </c>
      <c r="G36" s="73" t="s">
        <v>7</v>
      </c>
      <c r="H36" s="73" t="s">
        <v>33</v>
      </c>
      <c r="I36" s="73" t="s">
        <v>20</v>
      </c>
      <c r="J36" s="73" t="s">
        <v>42</v>
      </c>
      <c r="K36" s="73" t="s">
        <v>311</v>
      </c>
    </row>
    <row r="37" spans="1:19" s="2" customFormat="1" ht="14.25" customHeight="1" x14ac:dyDescent="0.3">
      <c r="A37" s="73" t="s">
        <v>319</v>
      </c>
      <c r="B37" s="74">
        <v>46090</v>
      </c>
      <c r="C37" s="75">
        <v>1</v>
      </c>
      <c r="D37" s="75">
        <v>0</v>
      </c>
      <c r="E37" s="73" t="s">
        <v>320</v>
      </c>
      <c r="F37" s="73" t="s">
        <v>200</v>
      </c>
      <c r="G37" s="73" t="s">
        <v>7</v>
      </c>
      <c r="H37" s="73" t="s">
        <v>33</v>
      </c>
      <c r="I37" s="73" t="s">
        <v>20</v>
      </c>
      <c r="J37" s="73" t="s">
        <v>321</v>
      </c>
      <c r="K37" s="73" t="s">
        <v>13</v>
      </c>
    </row>
    <row r="38" spans="1:19" s="2" customFormat="1" ht="14.25" customHeight="1" x14ac:dyDescent="0.3">
      <c r="A38" s="73" t="s">
        <v>322</v>
      </c>
      <c r="B38" s="74">
        <v>46090</v>
      </c>
      <c r="C38" s="75">
        <v>2</v>
      </c>
      <c r="D38" s="75">
        <v>0</v>
      </c>
      <c r="E38" s="73" t="s">
        <v>323</v>
      </c>
      <c r="F38" s="73" t="s">
        <v>200</v>
      </c>
      <c r="G38" s="73" t="s">
        <v>7</v>
      </c>
      <c r="H38" s="73" t="s">
        <v>33</v>
      </c>
      <c r="I38" s="73" t="s">
        <v>20</v>
      </c>
      <c r="J38" s="73" t="s">
        <v>321</v>
      </c>
      <c r="K38" s="73" t="s">
        <v>13</v>
      </c>
    </row>
    <row r="39" spans="1:19" s="2" customFormat="1" ht="14.25" customHeight="1" x14ac:dyDescent="0.3">
      <c r="A39" s="73" t="s">
        <v>324</v>
      </c>
      <c r="B39" s="74">
        <v>46090</v>
      </c>
      <c r="C39" s="75">
        <v>1</v>
      </c>
      <c r="D39" s="75">
        <v>0</v>
      </c>
      <c r="E39" s="73" t="s">
        <v>153</v>
      </c>
      <c r="F39" s="73" t="s">
        <v>200</v>
      </c>
      <c r="G39" s="73" t="s">
        <v>7</v>
      </c>
      <c r="H39" s="73" t="s">
        <v>33</v>
      </c>
      <c r="I39" s="73" t="s">
        <v>20</v>
      </c>
      <c r="J39" s="73" t="s">
        <v>134</v>
      </c>
      <c r="K39" s="73" t="s">
        <v>13</v>
      </c>
    </row>
    <row r="40" spans="1:19" s="2" customFormat="1" ht="14.25" customHeight="1" x14ac:dyDescent="0.3">
      <c r="A40" s="40"/>
      <c r="B40" s="41"/>
      <c r="C40" s="42"/>
      <c r="D40" s="42"/>
      <c r="E40" s="40"/>
      <c r="F40" s="70"/>
      <c r="G40" s="40"/>
      <c r="H40" s="40"/>
      <c r="I40" s="40"/>
      <c r="J40" s="40"/>
      <c r="K40" s="40"/>
    </row>
    <row r="41" spans="1:19" ht="15" thickBot="1" x14ac:dyDescent="0.35">
      <c r="A41" s="40"/>
      <c r="B41" s="41"/>
      <c r="C41" s="42"/>
      <c r="D41" s="42"/>
      <c r="E41" s="40"/>
      <c r="F41" s="40"/>
      <c r="G41" s="40"/>
      <c r="H41" s="40"/>
      <c r="I41" s="40"/>
      <c r="J41" s="40"/>
      <c r="K41" s="40"/>
      <c r="P41" s="3"/>
      <c r="Q41" s="3"/>
      <c r="R41" s="4"/>
      <c r="S41" s="4"/>
    </row>
    <row r="42" spans="1:19" ht="15" thickBot="1" x14ac:dyDescent="0.35">
      <c r="B42" s="34" t="s">
        <v>31</v>
      </c>
      <c r="C42" s="12">
        <f>SUM(C4:C39)-SUM(D4:D39)</f>
        <v>61</v>
      </c>
      <c r="D42" s="29"/>
      <c r="F42" s="35" t="s">
        <v>57</v>
      </c>
      <c r="G42" s="36">
        <f>COUNTIF(I4:I39,"Pending")</f>
        <v>3</v>
      </c>
      <c r="I42" s="38" t="s">
        <v>58</v>
      </c>
      <c r="J42" s="39">
        <f>C42-G42</f>
        <v>58</v>
      </c>
    </row>
    <row r="43" spans="1:19" x14ac:dyDescent="0.3">
      <c r="G43" s="3"/>
      <c r="H43" s="4"/>
      <c r="I43" s="3"/>
    </row>
    <row r="44" spans="1:19" hidden="1" x14ac:dyDescent="0.3">
      <c r="D44" s="13"/>
    </row>
    <row r="45" spans="1:19" s="6" customFormat="1" ht="28.8" x14ac:dyDescent="0.3">
      <c r="A45" s="28" t="s">
        <v>0</v>
      </c>
      <c r="B45" s="28" t="s">
        <v>1</v>
      </c>
      <c r="C45" s="28" t="s">
        <v>2</v>
      </c>
      <c r="D45" s="28" t="s">
        <v>3</v>
      </c>
      <c r="E45" s="28" t="s">
        <v>4</v>
      </c>
      <c r="F45" s="28" t="s">
        <v>51</v>
      </c>
      <c r="G45" s="28" t="s">
        <v>52</v>
      </c>
      <c r="H45" s="28" t="s">
        <v>5</v>
      </c>
      <c r="I45" s="28" t="s">
        <v>53</v>
      </c>
      <c r="J45" s="28" t="s">
        <v>27</v>
      </c>
      <c r="K45" s="28" t="s">
        <v>6</v>
      </c>
    </row>
    <row r="46" spans="1:19" s="18" customFormat="1" ht="15" customHeight="1" x14ac:dyDescent="0.3">
      <c r="A46" s="73" t="s">
        <v>99</v>
      </c>
      <c r="B46" s="74">
        <v>46056</v>
      </c>
      <c r="C46" s="75">
        <v>1</v>
      </c>
      <c r="D46" s="75">
        <v>0</v>
      </c>
      <c r="E46" s="73" t="s">
        <v>166</v>
      </c>
      <c r="F46" s="73" t="s">
        <v>98</v>
      </c>
      <c r="G46" s="73" t="s">
        <v>32</v>
      </c>
      <c r="H46" s="73" t="s">
        <v>44</v>
      </c>
      <c r="I46" s="73" t="s">
        <v>20</v>
      </c>
      <c r="J46" s="73" t="s">
        <v>166</v>
      </c>
      <c r="K46" s="73" t="s">
        <v>13</v>
      </c>
    </row>
    <row r="47" spans="1:19" s="18" customFormat="1" ht="15" customHeight="1" x14ac:dyDescent="0.3">
      <c r="A47" s="73" t="s">
        <v>172</v>
      </c>
      <c r="B47" s="74">
        <v>46056</v>
      </c>
      <c r="C47" s="75">
        <v>1</v>
      </c>
      <c r="D47" s="75">
        <v>0</v>
      </c>
      <c r="E47" s="73" t="s">
        <v>173</v>
      </c>
      <c r="F47" s="73" t="s">
        <v>98</v>
      </c>
      <c r="G47" s="73" t="s">
        <v>32</v>
      </c>
      <c r="H47" s="73" t="s">
        <v>33</v>
      </c>
      <c r="I47" s="73" t="s">
        <v>20</v>
      </c>
      <c r="J47" s="73" t="s">
        <v>175</v>
      </c>
      <c r="K47" s="73" t="s">
        <v>176</v>
      </c>
    </row>
    <row r="48" spans="1:19" hidden="1" x14ac:dyDescent="0.3">
      <c r="A48" s="51"/>
      <c r="B48" s="52"/>
      <c r="C48" s="53"/>
      <c r="D48" s="53"/>
      <c r="E48" s="51"/>
      <c r="F48" s="51"/>
      <c r="G48" s="51"/>
      <c r="H48" s="51"/>
      <c r="I48" s="51"/>
      <c r="J48" s="51"/>
      <c r="K48" s="2"/>
    </row>
    <row r="49" spans="1:29" ht="15" thickBot="1" x14ac:dyDescent="0.35">
      <c r="A49" s="51"/>
      <c r="B49" s="52"/>
      <c r="C49" s="53"/>
      <c r="D49" s="53"/>
      <c r="E49" s="51"/>
      <c r="F49" s="51"/>
      <c r="G49" s="51"/>
      <c r="H49" s="51"/>
      <c r="I49" s="51"/>
      <c r="J49" s="51"/>
      <c r="K49" s="2"/>
    </row>
    <row r="50" spans="1:29" ht="15" thickBot="1" x14ac:dyDescent="0.35">
      <c r="B50" s="60" t="s">
        <v>34</v>
      </c>
      <c r="C50" s="61">
        <v>2</v>
      </c>
      <c r="E50" s="2"/>
      <c r="F50" s="2"/>
      <c r="H50" s="2"/>
      <c r="J50" s="2"/>
      <c r="K50" s="2"/>
    </row>
    <row r="51" spans="1:29" x14ac:dyDescent="0.3">
      <c r="E51" s="2"/>
      <c r="F51" s="2"/>
      <c r="H51" s="2"/>
      <c r="J51" s="2"/>
      <c r="K51" s="2"/>
    </row>
    <row r="52" spans="1:29" hidden="1" x14ac:dyDescent="0.3">
      <c r="E52" s="2"/>
      <c r="F52" s="2"/>
      <c r="H52" s="2"/>
      <c r="J52" s="2"/>
      <c r="K52" s="2"/>
    </row>
    <row r="53" spans="1:29" s="2" customFormat="1" ht="34.35" customHeight="1" x14ac:dyDescent="0.3">
      <c r="A53" s="62" t="s">
        <v>0</v>
      </c>
      <c r="B53" s="62" t="s">
        <v>1</v>
      </c>
      <c r="C53" s="62" t="s">
        <v>2</v>
      </c>
      <c r="D53" s="62" t="s">
        <v>3</v>
      </c>
      <c r="E53" s="62" t="s">
        <v>4</v>
      </c>
      <c r="F53" s="62" t="s">
        <v>51</v>
      </c>
      <c r="G53" s="62" t="s">
        <v>52</v>
      </c>
      <c r="H53" s="62" t="s">
        <v>5</v>
      </c>
      <c r="I53" s="62" t="s">
        <v>53</v>
      </c>
      <c r="J53" s="62" t="s">
        <v>27</v>
      </c>
      <c r="K53" s="62" t="s">
        <v>6</v>
      </c>
    </row>
    <row r="54" spans="1:29" s="2" customFormat="1" x14ac:dyDescent="0.3">
      <c r="A54" s="73" t="s">
        <v>288</v>
      </c>
      <c r="B54" s="74">
        <v>46072</v>
      </c>
      <c r="C54" s="75">
        <v>1</v>
      </c>
      <c r="D54" s="75">
        <v>0</v>
      </c>
      <c r="E54" s="73" t="s">
        <v>40</v>
      </c>
      <c r="F54" s="73" t="s">
        <v>98</v>
      </c>
      <c r="G54" s="73" t="s">
        <v>55</v>
      </c>
      <c r="H54" s="73" t="s">
        <v>33</v>
      </c>
      <c r="I54" s="73" t="s">
        <v>20</v>
      </c>
      <c r="J54" s="73" t="s">
        <v>165</v>
      </c>
      <c r="K54" s="73" t="s">
        <v>13</v>
      </c>
      <c r="L54" s="4"/>
      <c r="M54" s="4"/>
      <c r="N54" s="4"/>
      <c r="O54" s="4"/>
      <c r="P54" s="4"/>
      <c r="Q54" s="4"/>
      <c r="R54" s="3"/>
      <c r="S54" s="3"/>
      <c r="T54" s="4"/>
      <c r="U54" s="4"/>
      <c r="V54" s="4"/>
      <c r="W54" s="4"/>
      <c r="X54" s="4"/>
      <c r="Y54" s="4"/>
      <c r="Z54" s="4"/>
      <c r="AA54" s="4"/>
      <c r="AB54" s="4"/>
      <c r="AC54" s="4"/>
    </row>
    <row r="55" spans="1:29" s="2" customFormat="1" x14ac:dyDescent="0.3">
      <c r="A55" s="73" t="s">
        <v>309</v>
      </c>
      <c r="B55" s="74">
        <v>46080</v>
      </c>
      <c r="C55" s="75">
        <v>1</v>
      </c>
      <c r="D55" s="75">
        <v>0</v>
      </c>
      <c r="E55" s="73" t="s">
        <v>263</v>
      </c>
      <c r="F55" s="73" t="s">
        <v>98</v>
      </c>
      <c r="G55" s="73" t="s">
        <v>55</v>
      </c>
      <c r="H55" s="73" t="s">
        <v>8</v>
      </c>
      <c r="I55" s="73" t="s">
        <v>20</v>
      </c>
      <c r="J55" s="73" t="s">
        <v>310</v>
      </c>
      <c r="K55" s="73" t="s">
        <v>311</v>
      </c>
      <c r="L55" s="4"/>
      <c r="M55" s="4"/>
      <c r="N55" s="4"/>
      <c r="O55" s="4"/>
      <c r="P55" s="4"/>
      <c r="Q55" s="4"/>
      <c r="R55" s="3"/>
      <c r="S55" s="3"/>
      <c r="T55" s="4"/>
      <c r="U55" s="4"/>
      <c r="V55" s="4"/>
      <c r="W55" s="4"/>
      <c r="X55" s="4"/>
      <c r="Y55" s="4"/>
      <c r="Z55" s="4"/>
      <c r="AA55" s="4"/>
      <c r="AB55" s="4"/>
      <c r="AC55" s="4"/>
    </row>
    <row r="56" spans="1:29" s="2" customFormat="1" x14ac:dyDescent="0.3">
      <c r="A56" s="73" t="s">
        <v>325</v>
      </c>
      <c r="B56" s="74">
        <v>46086</v>
      </c>
      <c r="C56" s="75">
        <v>1</v>
      </c>
      <c r="D56" s="75">
        <v>0</v>
      </c>
      <c r="E56" s="73" t="s">
        <v>326</v>
      </c>
      <c r="F56" s="73" t="s">
        <v>98</v>
      </c>
      <c r="G56" s="73" t="s">
        <v>55</v>
      </c>
      <c r="H56" s="73" t="s">
        <v>33</v>
      </c>
      <c r="I56" s="73" t="s">
        <v>20</v>
      </c>
      <c r="J56" s="73" t="s">
        <v>327</v>
      </c>
      <c r="K56" s="73" t="s">
        <v>328</v>
      </c>
      <c r="L56" s="4"/>
      <c r="M56" s="4"/>
      <c r="N56" s="4"/>
      <c r="O56" s="4"/>
      <c r="P56" s="4"/>
      <c r="Q56" s="4"/>
      <c r="R56" s="3"/>
      <c r="S56" s="3"/>
      <c r="T56" s="4"/>
      <c r="U56" s="4"/>
      <c r="V56" s="4"/>
      <c r="W56" s="4"/>
      <c r="X56" s="4"/>
      <c r="Y56" s="4"/>
      <c r="Z56" s="4"/>
      <c r="AA56" s="4"/>
      <c r="AB56" s="4"/>
      <c r="AC56" s="4"/>
    </row>
    <row r="57" spans="1:29" s="2" customFormat="1" x14ac:dyDescent="0.3">
      <c r="A57" s="73" t="s">
        <v>329</v>
      </c>
      <c r="B57" s="74">
        <v>46087</v>
      </c>
      <c r="C57" s="75">
        <v>1</v>
      </c>
      <c r="D57" s="75">
        <v>0</v>
      </c>
      <c r="E57" s="73" t="s">
        <v>107</v>
      </c>
      <c r="F57" s="73" t="s">
        <v>200</v>
      </c>
      <c r="G57" s="73" t="s">
        <v>55</v>
      </c>
      <c r="H57" s="73" t="s">
        <v>33</v>
      </c>
      <c r="I57" s="73" t="s">
        <v>20</v>
      </c>
      <c r="J57" s="73" t="s">
        <v>50</v>
      </c>
      <c r="K57" s="73" t="s">
        <v>43</v>
      </c>
      <c r="L57" s="4"/>
      <c r="M57" s="4"/>
      <c r="N57" s="4"/>
      <c r="O57" s="4"/>
      <c r="P57" s="4"/>
      <c r="Q57" s="4"/>
      <c r="R57" s="3"/>
      <c r="S57" s="3"/>
      <c r="T57" s="4"/>
      <c r="U57" s="4"/>
      <c r="V57" s="4"/>
      <c r="W57" s="4"/>
      <c r="X57" s="4"/>
      <c r="Y57" s="4"/>
      <c r="Z57" s="4"/>
      <c r="AA57" s="4"/>
      <c r="AB57" s="4"/>
      <c r="AC57" s="4"/>
    </row>
    <row r="58" spans="1:29" s="2" customFormat="1" x14ac:dyDescent="0.3">
      <c r="A58" s="73" t="s">
        <v>330</v>
      </c>
      <c r="B58" s="74">
        <v>46087</v>
      </c>
      <c r="C58" s="75">
        <v>1</v>
      </c>
      <c r="D58" s="75">
        <v>0</v>
      </c>
      <c r="E58" s="73" t="s">
        <v>120</v>
      </c>
      <c r="F58" s="73" t="s">
        <v>200</v>
      </c>
      <c r="G58" s="73" t="s">
        <v>55</v>
      </c>
      <c r="H58" s="73" t="s">
        <v>33</v>
      </c>
      <c r="I58" s="73" t="s">
        <v>20</v>
      </c>
      <c r="J58" s="73" t="s">
        <v>121</v>
      </c>
      <c r="K58" s="73" t="s">
        <v>13</v>
      </c>
      <c r="L58" s="4"/>
      <c r="M58" s="4"/>
      <c r="N58" s="4"/>
      <c r="O58" s="4"/>
      <c r="P58" s="4"/>
      <c r="Q58" s="4"/>
      <c r="R58" s="3"/>
      <c r="S58" s="3"/>
      <c r="T58" s="4"/>
      <c r="U58" s="4"/>
      <c r="V58" s="4"/>
      <c r="W58" s="4"/>
      <c r="X58" s="4"/>
      <c r="Y58" s="4"/>
      <c r="Z58" s="4"/>
      <c r="AA58" s="4"/>
      <c r="AB58" s="4"/>
      <c r="AC58" s="4"/>
    </row>
    <row r="59" spans="1:29" s="2" customFormat="1" x14ac:dyDescent="0.3">
      <c r="A59" s="73" t="s">
        <v>331</v>
      </c>
      <c r="B59" s="74">
        <v>46087</v>
      </c>
      <c r="C59" s="75">
        <v>1</v>
      </c>
      <c r="D59" s="75">
        <v>0</v>
      </c>
      <c r="E59" s="73" t="s">
        <v>332</v>
      </c>
      <c r="F59" s="73" t="s">
        <v>200</v>
      </c>
      <c r="G59" s="73" t="s">
        <v>55</v>
      </c>
      <c r="H59" s="73" t="s">
        <v>33</v>
      </c>
      <c r="I59" s="73" t="s">
        <v>20</v>
      </c>
      <c r="J59" s="73" t="s">
        <v>137</v>
      </c>
      <c r="K59" s="73" t="s">
        <v>13</v>
      </c>
      <c r="L59" s="4"/>
      <c r="M59" s="4"/>
      <c r="N59" s="4"/>
      <c r="O59" s="4"/>
      <c r="P59" s="4"/>
      <c r="Q59" s="4"/>
      <c r="R59" s="3"/>
      <c r="S59" s="3"/>
      <c r="T59" s="4"/>
      <c r="U59" s="4"/>
      <c r="V59" s="4"/>
      <c r="W59" s="4"/>
      <c r="X59" s="4"/>
      <c r="Y59" s="4"/>
      <c r="Z59" s="4"/>
      <c r="AA59" s="4"/>
      <c r="AB59" s="4"/>
      <c r="AC59" s="4"/>
    </row>
    <row r="60" spans="1:29" s="2" customFormat="1" ht="15" thickBot="1" x14ac:dyDescent="0.35">
      <c r="A60" s="77"/>
      <c r="B60" s="78"/>
      <c r="C60" s="79"/>
      <c r="D60" s="79"/>
      <c r="E60" s="77"/>
      <c r="F60" s="77"/>
      <c r="G60" s="77"/>
      <c r="H60" s="77"/>
      <c r="I60" s="77"/>
      <c r="J60" s="77"/>
      <c r="K60" s="77"/>
      <c r="L60" s="4"/>
      <c r="M60" s="4"/>
      <c r="N60" s="4"/>
      <c r="O60" s="4"/>
      <c r="P60" s="4"/>
      <c r="Q60" s="4"/>
      <c r="R60" s="3"/>
      <c r="S60" s="3"/>
      <c r="T60" s="4"/>
      <c r="U60" s="4"/>
      <c r="V60" s="4"/>
      <c r="W60" s="4"/>
      <c r="X60" s="4"/>
      <c r="Y60" s="4"/>
      <c r="Z60" s="4"/>
      <c r="AA60" s="4"/>
      <c r="AB60" s="4"/>
      <c r="AC60" s="4"/>
    </row>
    <row r="61" spans="1:29" ht="15" thickBot="1" x14ac:dyDescent="0.35">
      <c r="B61" s="38" t="s">
        <v>266</v>
      </c>
      <c r="C61" s="22">
        <v>6</v>
      </c>
    </row>
  </sheetData>
  <autoFilter ref="A3:J29" xr:uid="{6E392464-0CD5-4B6C-9B5A-A4EF4B03C567}">
    <sortState xmlns:xlrd2="http://schemas.microsoft.com/office/spreadsheetml/2017/richdata2" ref="A4:J39">
      <sortCondition ref="B3:B29"/>
    </sortState>
  </autoFilter>
  <conditionalFormatting sqref="F1:F40">
    <cfRule type="cellIs" dxfId="130" priority="9" operator="equal">
      <formula>"Non-Billable"</formula>
    </cfRule>
    <cfRule type="cellIs" dxfId="129" priority="10" operator="equal">
      <formula>"Billable"</formula>
    </cfRule>
  </conditionalFormatting>
  <conditionalFormatting sqref="F41">
    <cfRule type="cellIs" dxfId="128" priority="17" operator="equal">
      <formula>"Not Accepting Application"</formula>
    </cfRule>
    <cfRule type="cellIs" dxfId="127" priority="18" operator="equal">
      <formula>"Y"</formula>
    </cfRule>
  </conditionalFormatting>
  <conditionalFormatting sqref="F43:F1048576">
    <cfRule type="cellIs" dxfId="126" priority="1" operator="equal">
      <formula>"Non-Billable"</formula>
    </cfRule>
    <cfRule type="cellIs" dxfId="125" priority="2" operator="equal">
      <formula>"Billable"</formula>
    </cfRule>
  </conditionalFormatting>
  <conditionalFormatting sqref="H1:H2 H4:H40 F41 H42:H44 H46:H52 H54:H1048576">
    <cfRule type="cellIs" dxfId="124" priority="15" operator="equal">
      <formula>"Not accpeting applications"</formula>
    </cfRule>
  </conditionalFormatting>
  <conditionalFormatting sqref="H1:H2 H4:H40 H42:H44 H46:H52 AG54:AG61 H54:H1048576">
    <cfRule type="cellIs" dxfId="123" priority="14" operator="equal">
      <formula>"Not Accepting Applications"</formula>
    </cfRule>
  </conditionalFormatting>
  <conditionalFormatting sqref="H4:H40">
    <cfRule type="cellIs" dxfId="122" priority="16" operator="equal">
      <formula>"Accepting Applications"</formula>
    </cfRule>
  </conditionalFormatting>
  <conditionalFormatting sqref="H46:H47">
    <cfRule type="cellIs" dxfId="121" priority="19" operator="equal">
      <formula>"Not Accepting Application"</formula>
    </cfRule>
    <cfRule type="cellIs" dxfId="120" priority="20" operator="equal">
      <formula>"Accepting Applications"</formula>
    </cfRule>
    <cfRule type="cellIs" dxfId="119" priority="21" operator="equal">
      <formula>"Y"</formula>
    </cfRule>
  </conditionalFormatting>
  <conditionalFormatting sqref="I1:I40 F41:G41 I43:I1048576">
    <cfRule type="cellIs" dxfId="118" priority="12" operator="equal">
      <formula>"Accepting Applications"</formula>
    </cfRule>
    <cfRule type="cellIs" dxfId="117" priority="13" operator="equal">
      <formula>"Not Accepting Applications"</formula>
    </cfRule>
  </conditionalFormatting>
  <conditionalFormatting sqref="I1:I40 G41 I43:I1048576">
    <cfRule type="cellIs" dxfId="116" priority="11" operator="equal">
      <formula>"Pending"</formula>
    </cfRule>
  </conditionalFormatting>
  <pageMargins left="0.7" right="0.7" top="0.75" bottom="0.75" header="0.3" footer="0.3"/>
  <pageSetup orientation="landscape" horizontalDpi="4294967295" verticalDpi="4294967295"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02C41-EEAB-499A-8675-97A7EF3BB96B}">
  <sheetPr>
    <tabColor theme="2" tint="-0.249977111117893"/>
  </sheetPr>
  <dimension ref="A1:AC59"/>
  <sheetViews>
    <sheetView showGridLines="0" topLeftCell="A19" zoomScale="90" zoomScaleNormal="90" workbookViewId="0">
      <selection activeCell="A8" sqref="A8"/>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0.33333333333333331</v>
      </c>
      <c r="B1" s="37">
        <v>46086</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73" t="s">
        <v>128</v>
      </c>
      <c r="B4" s="74">
        <v>46035</v>
      </c>
      <c r="C4" s="75">
        <v>1</v>
      </c>
      <c r="D4" s="75">
        <v>0</v>
      </c>
      <c r="E4" s="73" t="s">
        <v>129</v>
      </c>
      <c r="F4" s="73" t="s">
        <v>200</v>
      </c>
      <c r="G4" s="73" t="s">
        <v>7</v>
      </c>
      <c r="H4" s="73" t="s">
        <v>64</v>
      </c>
      <c r="I4" s="73" t="s">
        <v>9</v>
      </c>
      <c r="J4" s="73" t="s">
        <v>65</v>
      </c>
      <c r="K4" s="73" t="s">
        <v>13</v>
      </c>
      <c r="AB4" s="2" t="s">
        <v>10</v>
      </c>
      <c r="AC4" s="2" t="s">
        <v>11</v>
      </c>
    </row>
    <row r="5" spans="1:29" s="2" customFormat="1" x14ac:dyDescent="0.3">
      <c r="A5" s="73" t="s">
        <v>234</v>
      </c>
      <c r="B5" s="74">
        <v>46056</v>
      </c>
      <c r="C5" s="75">
        <v>30</v>
      </c>
      <c r="D5" s="75">
        <v>7</v>
      </c>
      <c r="E5" s="73" t="s">
        <v>45</v>
      </c>
      <c r="F5" s="73" t="s">
        <v>200</v>
      </c>
      <c r="G5" s="73" t="s">
        <v>7</v>
      </c>
      <c r="H5" s="73" t="s">
        <v>259</v>
      </c>
      <c r="I5" s="73" t="s">
        <v>20</v>
      </c>
      <c r="J5" s="73" t="s">
        <v>49</v>
      </c>
      <c r="K5" s="73" t="s">
        <v>91</v>
      </c>
      <c r="AB5" s="2" t="s">
        <v>14</v>
      </c>
      <c r="AC5" s="2">
        <v>17</v>
      </c>
    </row>
    <row r="6" spans="1:29" s="2" customFormat="1" x14ac:dyDescent="0.3">
      <c r="A6" s="73" t="s">
        <v>157</v>
      </c>
      <c r="B6" s="74">
        <v>46063</v>
      </c>
      <c r="C6" s="75">
        <v>1</v>
      </c>
      <c r="D6" s="75">
        <v>0</v>
      </c>
      <c r="E6" s="73" t="s">
        <v>158</v>
      </c>
      <c r="F6" s="73" t="s">
        <v>98</v>
      </c>
      <c r="G6" s="73" t="s">
        <v>7</v>
      </c>
      <c r="H6" s="73" t="s">
        <v>17</v>
      </c>
      <c r="I6" s="73" t="s">
        <v>9</v>
      </c>
      <c r="J6" s="73" t="s">
        <v>159</v>
      </c>
      <c r="K6" s="73" t="s">
        <v>48</v>
      </c>
      <c r="N6" s="10"/>
      <c r="AB6" s="2" t="s">
        <v>15</v>
      </c>
      <c r="AC6" s="2">
        <v>3</v>
      </c>
    </row>
    <row r="7" spans="1:29" s="2" customFormat="1" x14ac:dyDescent="0.3">
      <c r="A7" s="73" t="s">
        <v>209</v>
      </c>
      <c r="B7" s="74">
        <v>46063</v>
      </c>
      <c r="C7" s="75">
        <v>1</v>
      </c>
      <c r="D7" s="75">
        <v>0</v>
      </c>
      <c r="E7" s="73" t="s">
        <v>210</v>
      </c>
      <c r="F7" s="73" t="s">
        <v>98</v>
      </c>
      <c r="G7" s="73" t="s">
        <v>7</v>
      </c>
      <c r="H7" s="73" t="s">
        <v>17</v>
      </c>
      <c r="I7" s="73" t="s">
        <v>9</v>
      </c>
      <c r="J7" s="73" t="s">
        <v>206</v>
      </c>
      <c r="K7" s="73" t="s">
        <v>28</v>
      </c>
      <c r="N7" s="10"/>
      <c r="V7" s="11"/>
      <c r="AB7" s="2" t="s">
        <v>16</v>
      </c>
      <c r="AC7" s="2">
        <v>4</v>
      </c>
    </row>
    <row r="8" spans="1:29" s="2" customFormat="1" x14ac:dyDescent="0.3">
      <c r="A8" s="73" t="s">
        <v>229</v>
      </c>
      <c r="B8" s="74">
        <v>46065</v>
      </c>
      <c r="C8" s="75">
        <v>3</v>
      </c>
      <c r="D8" s="75">
        <v>2</v>
      </c>
      <c r="E8" s="73" t="s">
        <v>45</v>
      </c>
      <c r="F8" s="73" t="s">
        <v>200</v>
      </c>
      <c r="G8" s="73" t="s">
        <v>7</v>
      </c>
      <c r="H8" s="73" t="s">
        <v>272</v>
      </c>
      <c r="I8" s="73" t="s">
        <v>20</v>
      </c>
      <c r="J8" s="73" t="s">
        <v>121</v>
      </c>
      <c r="K8" s="73" t="s">
        <v>13</v>
      </c>
      <c r="N8" s="10"/>
    </row>
    <row r="9" spans="1:29" s="2" customFormat="1" x14ac:dyDescent="0.3">
      <c r="A9" s="73" t="s">
        <v>230</v>
      </c>
      <c r="B9" s="74">
        <v>46065</v>
      </c>
      <c r="C9" s="75">
        <v>1</v>
      </c>
      <c r="D9" s="75">
        <v>0</v>
      </c>
      <c r="E9" s="73" t="s">
        <v>263</v>
      </c>
      <c r="F9" s="73" t="s">
        <v>273</v>
      </c>
      <c r="G9" s="73" t="s">
        <v>7</v>
      </c>
      <c r="H9" s="73" t="s">
        <v>274</v>
      </c>
      <c r="I9" s="73" t="s">
        <v>9</v>
      </c>
      <c r="J9" s="73" t="s">
        <v>12</v>
      </c>
      <c r="K9" s="73" t="s">
        <v>19</v>
      </c>
    </row>
    <row r="10" spans="1:29" s="2" customFormat="1" x14ac:dyDescent="0.3">
      <c r="A10" s="73" t="s">
        <v>261</v>
      </c>
      <c r="B10" s="74">
        <v>46066</v>
      </c>
      <c r="C10" s="75">
        <v>1</v>
      </c>
      <c r="D10" s="75">
        <v>0</v>
      </c>
      <c r="E10" s="73" t="s">
        <v>262</v>
      </c>
      <c r="F10" s="73" t="s">
        <v>98</v>
      </c>
      <c r="G10" s="73" t="s">
        <v>7</v>
      </c>
      <c r="H10" s="73" t="s">
        <v>17</v>
      </c>
      <c r="I10" s="73" t="s">
        <v>9</v>
      </c>
      <c r="J10" s="73" t="s">
        <v>191</v>
      </c>
      <c r="K10" s="73" t="s">
        <v>13</v>
      </c>
    </row>
    <row r="11" spans="1:29" s="2" customFormat="1" x14ac:dyDescent="0.3">
      <c r="A11" s="73" t="s">
        <v>253</v>
      </c>
      <c r="B11" s="74">
        <v>46069</v>
      </c>
      <c r="C11" s="75">
        <v>1</v>
      </c>
      <c r="D11" s="75">
        <v>0</v>
      </c>
      <c r="E11" s="73" t="s">
        <v>244</v>
      </c>
      <c r="F11" s="73" t="s">
        <v>98</v>
      </c>
      <c r="G11" s="73" t="s">
        <v>7</v>
      </c>
      <c r="H11" s="73" t="s">
        <v>33</v>
      </c>
      <c r="I11" s="73" t="s">
        <v>20</v>
      </c>
      <c r="J11" s="73" t="s">
        <v>103</v>
      </c>
      <c r="K11" s="73" t="s">
        <v>13</v>
      </c>
    </row>
    <row r="12" spans="1:29" s="2" customFormat="1" x14ac:dyDescent="0.3">
      <c r="A12" s="73" t="s">
        <v>254</v>
      </c>
      <c r="B12" s="74">
        <v>46069</v>
      </c>
      <c r="C12" s="75">
        <v>1</v>
      </c>
      <c r="D12" s="75">
        <v>0</v>
      </c>
      <c r="E12" s="73" t="s">
        <v>101</v>
      </c>
      <c r="F12" s="73" t="s">
        <v>98</v>
      </c>
      <c r="G12" s="73" t="s">
        <v>7</v>
      </c>
      <c r="H12" s="73" t="s">
        <v>33</v>
      </c>
      <c r="I12" s="73" t="s">
        <v>20</v>
      </c>
      <c r="J12" s="73" t="s">
        <v>103</v>
      </c>
      <c r="K12" s="73" t="s">
        <v>13</v>
      </c>
    </row>
    <row r="13" spans="1:29" s="2" customFormat="1" x14ac:dyDescent="0.3">
      <c r="A13" s="73" t="s">
        <v>163</v>
      </c>
      <c r="B13" s="74">
        <v>46069</v>
      </c>
      <c r="C13" s="75">
        <v>1</v>
      </c>
      <c r="D13" s="75">
        <v>0</v>
      </c>
      <c r="E13" s="73" t="s">
        <v>164</v>
      </c>
      <c r="F13" s="73" t="s">
        <v>98</v>
      </c>
      <c r="G13" s="73" t="s">
        <v>7</v>
      </c>
      <c r="H13" s="73" t="s">
        <v>18</v>
      </c>
      <c r="I13" s="73" t="s">
        <v>56</v>
      </c>
      <c r="J13" s="73" t="s">
        <v>165</v>
      </c>
      <c r="K13" s="73" t="s">
        <v>43</v>
      </c>
    </row>
    <row r="14" spans="1:29" s="2" customFormat="1" x14ac:dyDescent="0.3">
      <c r="A14" s="73" t="s">
        <v>249</v>
      </c>
      <c r="B14" s="74">
        <v>46076</v>
      </c>
      <c r="C14" s="75">
        <v>2</v>
      </c>
      <c r="D14" s="75">
        <v>0</v>
      </c>
      <c r="E14" s="73" t="s">
        <v>45</v>
      </c>
      <c r="F14" s="73" t="s">
        <v>200</v>
      </c>
      <c r="G14" s="73" t="s">
        <v>7</v>
      </c>
      <c r="H14" s="73" t="s">
        <v>27</v>
      </c>
      <c r="I14" s="73" t="s">
        <v>20</v>
      </c>
      <c r="J14" s="73" t="s">
        <v>121</v>
      </c>
      <c r="K14" s="73" t="s">
        <v>13</v>
      </c>
    </row>
    <row r="15" spans="1:29" s="2" customFormat="1" x14ac:dyDescent="0.3">
      <c r="A15" s="73" t="s">
        <v>74</v>
      </c>
      <c r="B15" s="74">
        <v>46076</v>
      </c>
      <c r="C15" s="75">
        <v>1</v>
      </c>
      <c r="D15" s="75">
        <v>0</v>
      </c>
      <c r="E15" s="73" t="s">
        <v>75</v>
      </c>
      <c r="F15" s="73" t="s">
        <v>98</v>
      </c>
      <c r="G15" s="73" t="s">
        <v>7</v>
      </c>
      <c r="H15" s="73" t="s">
        <v>76</v>
      </c>
      <c r="I15" s="73" t="s">
        <v>9</v>
      </c>
      <c r="J15" s="73" t="s">
        <v>77</v>
      </c>
      <c r="K15" s="73" t="s">
        <v>13</v>
      </c>
    </row>
    <row r="16" spans="1:29" s="2" customFormat="1" x14ac:dyDescent="0.3">
      <c r="A16" s="73" t="s">
        <v>277</v>
      </c>
      <c r="B16" s="74">
        <v>46076</v>
      </c>
      <c r="C16" s="75">
        <v>1</v>
      </c>
      <c r="D16" s="75">
        <v>0</v>
      </c>
      <c r="E16" s="73" t="s">
        <v>283</v>
      </c>
      <c r="F16" s="73" t="s">
        <v>98</v>
      </c>
      <c r="G16" s="73" t="s">
        <v>7</v>
      </c>
      <c r="H16" s="73" t="s">
        <v>47</v>
      </c>
      <c r="I16" s="73" t="s">
        <v>9</v>
      </c>
      <c r="J16" s="73" t="s">
        <v>134</v>
      </c>
      <c r="K16" s="73" t="s">
        <v>24</v>
      </c>
    </row>
    <row r="17" spans="1:11" s="2" customFormat="1" x14ac:dyDescent="0.3">
      <c r="A17" s="73" t="s">
        <v>202</v>
      </c>
      <c r="B17" s="74">
        <v>46077</v>
      </c>
      <c r="C17" s="75">
        <v>1</v>
      </c>
      <c r="D17" s="75">
        <v>0</v>
      </c>
      <c r="E17" s="73" t="s">
        <v>54</v>
      </c>
      <c r="F17" s="73" t="s">
        <v>98</v>
      </c>
      <c r="G17" s="73" t="s">
        <v>7</v>
      </c>
      <c r="H17" s="73" t="s">
        <v>18</v>
      </c>
      <c r="I17" s="73" t="s">
        <v>56</v>
      </c>
      <c r="J17" s="73" t="s">
        <v>203</v>
      </c>
      <c r="K17" s="73" t="s">
        <v>13</v>
      </c>
    </row>
    <row r="18" spans="1:11" s="2" customFormat="1" x14ac:dyDescent="0.3">
      <c r="A18" s="73" t="s">
        <v>267</v>
      </c>
      <c r="B18" s="74">
        <v>46077</v>
      </c>
      <c r="C18" s="75">
        <v>1</v>
      </c>
      <c r="D18" s="75">
        <v>0</v>
      </c>
      <c r="E18" s="73" t="s">
        <v>268</v>
      </c>
      <c r="F18" s="73" t="s">
        <v>98</v>
      </c>
      <c r="G18" s="73" t="s">
        <v>7</v>
      </c>
      <c r="H18" s="73" t="s">
        <v>27</v>
      </c>
      <c r="I18" s="73" t="s">
        <v>9</v>
      </c>
      <c r="J18" s="73" t="s">
        <v>269</v>
      </c>
      <c r="K18" s="73" t="s">
        <v>24</v>
      </c>
    </row>
    <row r="19" spans="1:11" s="2" customFormat="1" ht="15" customHeight="1" x14ac:dyDescent="0.3">
      <c r="A19" s="73" t="s">
        <v>291</v>
      </c>
      <c r="B19" s="74">
        <v>46078</v>
      </c>
      <c r="C19" s="75">
        <v>1</v>
      </c>
      <c r="D19" s="75">
        <v>0</v>
      </c>
      <c r="E19" s="73" t="s">
        <v>292</v>
      </c>
      <c r="F19" s="73" t="s">
        <v>98</v>
      </c>
      <c r="G19" s="73" t="s">
        <v>7</v>
      </c>
      <c r="H19" s="73" t="s">
        <v>44</v>
      </c>
      <c r="I19" s="73" t="s">
        <v>9</v>
      </c>
      <c r="J19" s="73" t="s">
        <v>95</v>
      </c>
      <c r="K19" s="73" t="s">
        <v>91</v>
      </c>
    </row>
    <row r="20" spans="1:11" s="2" customFormat="1" ht="13.95" customHeight="1" x14ac:dyDescent="0.3">
      <c r="A20" s="73" t="s">
        <v>270</v>
      </c>
      <c r="B20" s="74">
        <v>46079</v>
      </c>
      <c r="C20" s="75">
        <v>1</v>
      </c>
      <c r="D20" s="75">
        <v>0</v>
      </c>
      <c r="E20" s="73" t="s">
        <v>25</v>
      </c>
      <c r="F20" s="73" t="s">
        <v>200</v>
      </c>
      <c r="G20" s="73" t="s">
        <v>7</v>
      </c>
      <c r="H20" s="73" t="s">
        <v>64</v>
      </c>
      <c r="I20" s="73" t="s">
        <v>9</v>
      </c>
      <c r="J20" s="73" t="s">
        <v>271</v>
      </c>
      <c r="K20" s="73" t="s">
        <v>21</v>
      </c>
    </row>
    <row r="21" spans="1:11" s="2" customFormat="1" x14ac:dyDescent="0.3">
      <c r="A21" s="73" t="s">
        <v>293</v>
      </c>
      <c r="B21" s="74">
        <v>46079</v>
      </c>
      <c r="C21" s="75">
        <v>1</v>
      </c>
      <c r="D21" s="75">
        <v>0</v>
      </c>
      <c r="E21" s="73" t="s">
        <v>294</v>
      </c>
      <c r="F21" s="73" t="s">
        <v>98</v>
      </c>
      <c r="G21" s="73" t="s">
        <v>7</v>
      </c>
      <c r="H21" s="73" t="s">
        <v>27</v>
      </c>
      <c r="I21" s="73" t="s">
        <v>9</v>
      </c>
      <c r="J21" s="73" t="s">
        <v>206</v>
      </c>
      <c r="K21" s="73" t="s">
        <v>48</v>
      </c>
    </row>
    <row r="22" spans="1:11" s="2" customFormat="1" x14ac:dyDescent="0.3">
      <c r="A22" s="73" t="s">
        <v>226</v>
      </c>
      <c r="B22" s="74">
        <v>46079</v>
      </c>
      <c r="C22" s="75">
        <v>2</v>
      </c>
      <c r="D22" s="75">
        <v>1</v>
      </c>
      <c r="E22" s="73" t="s">
        <v>227</v>
      </c>
      <c r="F22" s="73" t="s">
        <v>200</v>
      </c>
      <c r="G22" s="73" t="s">
        <v>7</v>
      </c>
      <c r="H22" s="73" t="s">
        <v>306</v>
      </c>
      <c r="I22" s="73" t="s">
        <v>9</v>
      </c>
      <c r="J22" s="73" t="s">
        <v>180</v>
      </c>
      <c r="K22" s="73" t="s">
        <v>43</v>
      </c>
    </row>
    <row r="23" spans="1:11" s="2" customFormat="1" x14ac:dyDescent="0.3">
      <c r="A23" s="73" t="s">
        <v>222</v>
      </c>
      <c r="B23" s="74">
        <v>46079</v>
      </c>
      <c r="C23" s="75">
        <v>1</v>
      </c>
      <c r="D23" s="75">
        <v>0</v>
      </c>
      <c r="E23" s="73" t="s">
        <v>223</v>
      </c>
      <c r="F23" s="73" t="s">
        <v>200</v>
      </c>
      <c r="G23" s="73" t="s">
        <v>7</v>
      </c>
      <c r="H23" s="73" t="s">
        <v>305</v>
      </c>
      <c r="I23" s="73" t="s">
        <v>9</v>
      </c>
      <c r="J23" s="73" t="s">
        <v>180</v>
      </c>
      <c r="K23" s="73" t="s">
        <v>13</v>
      </c>
    </row>
    <row r="24" spans="1:11" s="2" customFormat="1" ht="15" customHeight="1" x14ac:dyDescent="0.3">
      <c r="A24" s="73" t="s">
        <v>92</v>
      </c>
      <c r="B24" s="74">
        <v>46080</v>
      </c>
      <c r="C24" s="75">
        <v>1</v>
      </c>
      <c r="D24" s="75">
        <v>0</v>
      </c>
      <c r="E24" s="73" t="s">
        <v>93</v>
      </c>
      <c r="F24" s="73" t="s">
        <v>98</v>
      </c>
      <c r="G24" s="73" t="s">
        <v>7</v>
      </c>
      <c r="H24" s="73" t="s">
        <v>18</v>
      </c>
      <c r="I24" s="73" t="s">
        <v>56</v>
      </c>
      <c r="J24" s="73" t="s">
        <v>95</v>
      </c>
      <c r="K24" s="73" t="s">
        <v>21</v>
      </c>
    </row>
    <row r="25" spans="1:11" s="2" customFormat="1" x14ac:dyDescent="0.3">
      <c r="A25" s="73" t="s">
        <v>296</v>
      </c>
      <c r="B25" s="74">
        <v>46083</v>
      </c>
      <c r="C25" s="75">
        <v>1</v>
      </c>
      <c r="D25" s="75">
        <v>0</v>
      </c>
      <c r="E25" s="73" t="s">
        <v>297</v>
      </c>
      <c r="F25" s="73" t="s">
        <v>98</v>
      </c>
      <c r="G25" s="73" t="s">
        <v>7</v>
      </c>
      <c r="H25" s="73" t="s">
        <v>33</v>
      </c>
      <c r="I25" s="73" t="s">
        <v>20</v>
      </c>
      <c r="J25" s="73" t="s">
        <v>298</v>
      </c>
      <c r="K25" s="73" t="s">
        <v>21</v>
      </c>
    </row>
    <row r="26" spans="1:11" s="2" customFormat="1" x14ac:dyDescent="0.3">
      <c r="A26" s="73" t="s">
        <v>204</v>
      </c>
      <c r="B26" s="74">
        <v>46083</v>
      </c>
      <c r="C26" s="75">
        <v>1</v>
      </c>
      <c r="D26" s="75">
        <v>0</v>
      </c>
      <c r="E26" s="73" t="s">
        <v>205</v>
      </c>
      <c r="F26" s="73" t="s">
        <v>98</v>
      </c>
      <c r="G26" s="73" t="s">
        <v>7</v>
      </c>
      <c r="H26" s="73" t="s">
        <v>18</v>
      </c>
      <c r="I26" s="73" t="s">
        <v>20</v>
      </c>
      <c r="J26" s="73" t="s">
        <v>206</v>
      </c>
      <c r="K26" s="73" t="s">
        <v>13</v>
      </c>
    </row>
    <row r="27" spans="1:11" s="2" customFormat="1" x14ac:dyDescent="0.3">
      <c r="A27" s="73" t="s">
        <v>217</v>
      </c>
      <c r="B27" s="74">
        <v>46083</v>
      </c>
      <c r="C27" s="75">
        <v>1</v>
      </c>
      <c r="D27" s="75">
        <v>0</v>
      </c>
      <c r="E27" s="73" t="s">
        <v>218</v>
      </c>
      <c r="F27" s="73" t="s">
        <v>200</v>
      </c>
      <c r="G27" s="73" t="s">
        <v>7</v>
      </c>
      <c r="H27" s="73" t="s">
        <v>18</v>
      </c>
      <c r="I27" s="73" t="s">
        <v>56</v>
      </c>
      <c r="J27" s="73" t="s">
        <v>121</v>
      </c>
      <c r="K27" s="73" t="s">
        <v>22</v>
      </c>
    </row>
    <row r="28" spans="1:11" s="2" customFormat="1" x14ac:dyDescent="0.3">
      <c r="A28" s="73" t="s">
        <v>303</v>
      </c>
      <c r="B28" s="74">
        <v>46084</v>
      </c>
      <c r="C28" s="75">
        <v>1</v>
      </c>
      <c r="D28" s="75">
        <v>0</v>
      </c>
      <c r="E28" s="73" t="s">
        <v>240</v>
      </c>
      <c r="F28" s="73" t="s">
        <v>98</v>
      </c>
      <c r="G28" s="73" t="s">
        <v>7</v>
      </c>
      <c r="H28" s="73" t="s">
        <v>316</v>
      </c>
      <c r="I28" s="73" t="s">
        <v>20</v>
      </c>
      <c r="J28" s="73" t="s">
        <v>186</v>
      </c>
      <c r="K28" s="73" t="s">
        <v>19</v>
      </c>
    </row>
    <row r="29" spans="1:11" s="2" customFormat="1" x14ac:dyDescent="0.3">
      <c r="A29" s="73" t="s">
        <v>246</v>
      </c>
      <c r="B29" s="74">
        <v>46084</v>
      </c>
      <c r="C29" s="75">
        <v>1</v>
      </c>
      <c r="D29" s="75">
        <v>0</v>
      </c>
      <c r="E29" s="73" t="s">
        <v>232</v>
      </c>
      <c r="F29" s="73" t="s">
        <v>200</v>
      </c>
      <c r="G29" s="73" t="s">
        <v>7</v>
      </c>
      <c r="H29" s="73" t="s">
        <v>64</v>
      </c>
      <c r="I29" s="73" t="s">
        <v>9</v>
      </c>
      <c r="J29" s="73" t="s">
        <v>65</v>
      </c>
      <c r="K29" s="73" t="s">
        <v>13</v>
      </c>
    </row>
    <row r="30" spans="1:11" s="2" customFormat="1" ht="13.95" customHeight="1" x14ac:dyDescent="0.3">
      <c r="A30" s="73" t="s">
        <v>243</v>
      </c>
      <c r="B30" s="74">
        <v>46085</v>
      </c>
      <c r="C30" s="75">
        <v>1</v>
      </c>
      <c r="D30" s="75">
        <v>0</v>
      </c>
      <c r="E30" s="73" t="s">
        <v>244</v>
      </c>
      <c r="F30" s="73" t="s">
        <v>98</v>
      </c>
      <c r="G30" s="73" t="s">
        <v>7</v>
      </c>
      <c r="H30" s="73" t="s">
        <v>33</v>
      </c>
      <c r="I30" s="73" t="s">
        <v>20</v>
      </c>
      <c r="J30" s="73" t="s">
        <v>103</v>
      </c>
      <c r="K30" s="73" t="s">
        <v>287</v>
      </c>
    </row>
    <row r="31" spans="1:11" s="2" customFormat="1" ht="14.25" customHeight="1" x14ac:dyDescent="0.3">
      <c r="A31" s="73" t="s">
        <v>307</v>
      </c>
      <c r="B31" s="74">
        <v>46085</v>
      </c>
      <c r="C31" s="75">
        <v>1</v>
      </c>
      <c r="D31" s="75">
        <v>0</v>
      </c>
      <c r="E31" s="73" t="s">
        <v>29</v>
      </c>
      <c r="F31" s="73" t="s">
        <v>200</v>
      </c>
      <c r="G31" s="73" t="s">
        <v>7</v>
      </c>
      <c r="H31" s="73" t="s">
        <v>33</v>
      </c>
      <c r="I31" s="73" t="s">
        <v>20</v>
      </c>
      <c r="J31" s="73" t="s">
        <v>33</v>
      </c>
      <c r="K31" s="73" t="s">
        <v>21</v>
      </c>
    </row>
    <row r="32" spans="1:11" s="2" customFormat="1" ht="14.25" customHeight="1" x14ac:dyDescent="0.3">
      <c r="A32" s="73" t="s">
        <v>228</v>
      </c>
      <c r="B32" s="74">
        <v>46085</v>
      </c>
      <c r="C32" s="75">
        <v>1</v>
      </c>
      <c r="D32" s="75">
        <v>0</v>
      </c>
      <c r="E32" s="73" t="s">
        <v>30</v>
      </c>
      <c r="F32" s="73" t="s">
        <v>200</v>
      </c>
      <c r="G32" s="73" t="s">
        <v>7</v>
      </c>
      <c r="H32" s="73" t="s">
        <v>313</v>
      </c>
      <c r="I32" s="73" t="s">
        <v>9</v>
      </c>
      <c r="J32" s="73" t="s">
        <v>12</v>
      </c>
      <c r="K32" s="73" t="s">
        <v>290</v>
      </c>
    </row>
    <row r="33" spans="1:19" s="2" customFormat="1" ht="14.25" customHeight="1" x14ac:dyDescent="0.3">
      <c r="A33" s="73" t="s">
        <v>300</v>
      </c>
      <c r="B33" s="74">
        <v>46085</v>
      </c>
      <c r="C33" s="75">
        <v>1</v>
      </c>
      <c r="D33" s="75">
        <v>0</v>
      </c>
      <c r="E33" s="73" t="s">
        <v>301</v>
      </c>
      <c r="F33" s="73" t="s">
        <v>200</v>
      </c>
      <c r="G33" s="73" t="s">
        <v>7</v>
      </c>
      <c r="H33" s="73" t="s">
        <v>23</v>
      </c>
      <c r="I33" s="73" t="s">
        <v>9</v>
      </c>
      <c r="J33" s="73" t="s">
        <v>302</v>
      </c>
      <c r="K33" s="73" t="s">
        <v>13</v>
      </c>
    </row>
    <row r="34" spans="1:19" s="2" customFormat="1" ht="14.25" customHeight="1" x14ac:dyDescent="0.3">
      <c r="A34" s="73" t="s">
        <v>304</v>
      </c>
      <c r="B34" s="74">
        <v>46085</v>
      </c>
      <c r="C34" s="75">
        <v>1</v>
      </c>
      <c r="D34" s="75">
        <v>0</v>
      </c>
      <c r="E34" s="73" t="s">
        <v>136</v>
      </c>
      <c r="F34" s="73" t="s">
        <v>200</v>
      </c>
      <c r="G34" s="73" t="s">
        <v>7</v>
      </c>
      <c r="H34" s="73" t="s">
        <v>23</v>
      </c>
      <c r="I34" s="73" t="s">
        <v>9</v>
      </c>
      <c r="J34" s="73" t="s">
        <v>137</v>
      </c>
      <c r="K34" s="73" t="s">
        <v>24</v>
      </c>
    </row>
    <row r="35" spans="1:19" s="2" customFormat="1" ht="14.25" customHeight="1" x14ac:dyDescent="0.3">
      <c r="A35" s="73" t="s">
        <v>247</v>
      </c>
      <c r="B35" s="74">
        <v>46085</v>
      </c>
      <c r="C35" s="75">
        <v>1</v>
      </c>
      <c r="D35" s="75">
        <v>0</v>
      </c>
      <c r="E35" s="73" t="s">
        <v>120</v>
      </c>
      <c r="F35" s="73" t="s">
        <v>200</v>
      </c>
      <c r="G35" s="73" t="s">
        <v>7</v>
      </c>
      <c r="H35" s="73" t="s">
        <v>314</v>
      </c>
      <c r="I35" s="73" t="s">
        <v>9</v>
      </c>
      <c r="J35" s="73" t="s">
        <v>248</v>
      </c>
      <c r="K35" s="73" t="s">
        <v>48</v>
      </c>
    </row>
    <row r="36" spans="1:19" s="2" customFormat="1" ht="14.25" customHeight="1" x14ac:dyDescent="0.3">
      <c r="A36" s="73" t="s">
        <v>289</v>
      </c>
      <c r="B36" s="74">
        <v>46085</v>
      </c>
      <c r="C36" s="75">
        <v>1</v>
      </c>
      <c r="D36" s="75">
        <v>0</v>
      </c>
      <c r="E36" s="73" t="s">
        <v>214</v>
      </c>
      <c r="F36" s="73" t="s">
        <v>200</v>
      </c>
      <c r="G36" s="73" t="s">
        <v>7</v>
      </c>
      <c r="H36" s="73" t="s">
        <v>18</v>
      </c>
      <c r="I36" s="73" t="s">
        <v>56</v>
      </c>
      <c r="J36" s="73" t="s">
        <v>215</v>
      </c>
      <c r="K36" s="73" t="s">
        <v>91</v>
      </c>
    </row>
    <row r="37" spans="1:19" s="2" customFormat="1" ht="14.25" customHeight="1" x14ac:dyDescent="0.3">
      <c r="A37" s="73" t="s">
        <v>299</v>
      </c>
      <c r="B37" s="74">
        <v>46085</v>
      </c>
      <c r="C37" s="75">
        <v>1</v>
      </c>
      <c r="D37" s="75">
        <v>0</v>
      </c>
      <c r="E37" s="73" t="s">
        <v>46</v>
      </c>
      <c r="F37" s="73" t="s">
        <v>200</v>
      </c>
      <c r="G37" s="73" t="s">
        <v>7</v>
      </c>
      <c r="H37" s="73" t="s">
        <v>27</v>
      </c>
      <c r="I37" s="73" t="s">
        <v>9</v>
      </c>
      <c r="J37" s="73" t="s">
        <v>49</v>
      </c>
      <c r="K37" s="73" t="s">
        <v>194</v>
      </c>
    </row>
    <row r="38" spans="1:19" s="2" customFormat="1" ht="14.25" customHeight="1" x14ac:dyDescent="0.3">
      <c r="A38" s="73" t="s">
        <v>284</v>
      </c>
      <c r="B38" s="74">
        <v>46085</v>
      </c>
      <c r="C38" s="75">
        <v>1</v>
      </c>
      <c r="D38" s="75">
        <v>0</v>
      </c>
      <c r="E38" s="73" t="s">
        <v>285</v>
      </c>
      <c r="F38" s="73" t="s">
        <v>98</v>
      </c>
      <c r="G38" s="73" t="s">
        <v>7</v>
      </c>
      <c r="H38" s="73" t="s">
        <v>315</v>
      </c>
      <c r="I38" s="73" t="s">
        <v>9</v>
      </c>
      <c r="J38" s="73" t="s">
        <v>286</v>
      </c>
      <c r="K38" s="73" t="s">
        <v>13</v>
      </c>
    </row>
    <row r="39" spans="1:19" s="2" customFormat="1" ht="14.25" customHeight="1" x14ac:dyDescent="0.3">
      <c r="A39" s="73" t="s">
        <v>221</v>
      </c>
      <c r="B39" s="74">
        <v>46085</v>
      </c>
      <c r="C39" s="75">
        <v>2</v>
      </c>
      <c r="D39" s="75">
        <v>0</v>
      </c>
      <c r="E39" s="73" t="s">
        <v>201</v>
      </c>
      <c r="F39" s="73" t="s">
        <v>200</v>
      </c>
      <c r="G39" s="73" t="s">
        <v>7</v>
      </c>
      <c r="H39" s="73" t="s">
        <v>312</v>
      </c>
      <c r="I39" s="73" t="s">
        <v>9</v>
      </c>
      <c r="J39" s="73" t="s">
        <v>105</v>
      </c>
      <c r="K39" s="73" t="s">
        <v>308</v>
      </c>
    </row>
    <row r="40" spans="1:19" s="2" customFormat="1" ht="14.25" customHeight="1" x14ac:dyDescent="0.3">
      <c r="A40" s="40"/>
      <c r="B40" s="41"/>
      <c r="C40" s="42"/>
      <c r="D40" s="42"/>
      <c r="E40" s="40"/>
      <c r="F40" s="70"/>
      <c r="G40" s="40"/>
      <c r="H40" s="40"/>
      <c r="I40" s="40"/>
      <c r="J40" s="40"/>
      <c r="K40" s="40"/>
    </row>
    <row r="41" spans="1:19" ht="15" thickBot="1" x14ac:dyDescent="0.35">
      <c r="A41" s="40"/>
      <c r="B41" s="41"/>
      <c r="C41" s="42"/>
      <c r="D41" s="42"/>
      <c r="E41" s="40"/>
      <c r="F41" s="40"/>
      <c r="G41" s="40"/>
      <c r="H41" s="40"/>
      <c r="I41" s="40"/>
      <c r="J41" s="40"/>
      <c r="K41" s="40"/>
      <c r="P41" s="3"/>
      <c r="Q41" s="3"/>
      <c r="R41" s="4"/>
      <c r="S41" s="4"/>
    </row>
    <row r="42" spans="1:19" ht="15" thickBot="1" x14ac:dyDescent="0.35">
      <c r="B42" s="34" t="s">
        <v>31</v>
      </c>
      <c r="C42" s="12">
        <f>SUM(C4:C39)-SUM(D4:D39)</f>
        <v>60</v>
      </c>
      <c r="D42" s="29"/>
      <c r="F42" s="35" t="s">
        <v>57</v>
      </c>
      <c r="G42" s="36">
        <f>COUNTIF(I4:I39,"Pending")</f>
        <v>5</v>
      </c>
      <c r="I42" s="38" t="s">
        <v>58</v>
      </c>
      <c r="J42" s="39">
        <f>C42-G42</f>
        <v>55</v>
      </c>
    </row>
    <row r="43" spans="1:19" x14ac:dyDescent="0.3">
      <c r="G43" s="3"/>
      <c r="H43" s="4"/>
      <c r="I43" s="3"/>
    </row>
    <row r="44" spans="1:19" hidden="1" x14ac:dyDescent="0.3">
      <c r="D44" s="13"/>
    </row>
    <row r="45" spans="1:19" s="6" customFormat="1" ht="28.8" x14ac:dyDescent="0.3">
      <c r="A45" s="28" t="s">
        <v>0</v>
      </c>
      <c r="B45" s="28" t="s">
        <v>1</v>
      </c>
      <c r="C45" s="28" t="s">
        <v>2</v>
      </c>
      <c r="D45" s="28" t="s">
        <v>3</v>
      </c>
      <c r="E45" s="28" t="s">
        <v>4</v>
      </c>
      <c r="F45" s="28" t="s">
        <v>51</v>
      </c>
      <c r="G45" s="28" t="s">
        <v>52</v>
      </c>
      <c r="H45" s="28" t="s">
        <v>5</v>
      </c>
      <c r="I45" s="28" t="s">
        <v>53</v>
      </c>
      <c r="J45" s="28" t="s">
        <v>27</v>
      </c>
      <c r="K45" s="28" t="s">
        <v>6</v>
      </c>
    </row>
    <row r="46" spans="1:19" s="18" customFormat="1" ht="15" customHeight="1" x14ac:dyDescent="0.3">
      <c r="A46" s="73" t="s">
        <v>99</v>
      </c>
      <c r="B46" s="74">
        <v>46056</v>
      </c>
      <c r="C46" s="75">
        <v>1</v>
      </c>
      <c r="D46" s="75">
        <v>0</v>
      </c>
      <c r="E46" s="73" t="s">
        <v>166</v>
      </c>
      <c r="F46" s="73" t="s">
        <v>98</v>
      </c>
      <c r="G46" s="73" t="s">
        <v>32</v>
      </c>
      <c r="H46" s="73" t="s">
        <v>44</v>
      </c>
      <c r="I46" s="73" t="s">
        <v>20</v>
      </c>
      <c r="J46" s="73" t="s">
        <v>166</v>
      </c>
      <c r="K46" s="73" t="s">
        <v>13</v>
      </c>
    </row>
    <row r="47" spans="1:19" s="18" customFormat="1" ht="15" customHeight="1" x14ac:dyDescent="0.3">
      <c r="A47" s="73" t="s">
        <v>172</v>
      </c>
      <c r="B47" s="74">
        <v>46056</v>
      </c>
      <c r="C47" s="75">
        <v>1</v>
      </c>
      <c r="D47" s="75">
        <v>0</v>
      </c>
      <c r="E47" s="73" t="s">
        <v>173</v>
      </c>
      <c r="F47" s="73" t="s">
        <v>98</v>
      </c>
      <c r="G47" s="73" t="s">
        <v>32</v>
      </c>
      <c r="H47" s="73" t="s">
        <v>33</v>
      </c>
      <c r="I47" s="73" t="s">
        <v>20</v>
      </c>
      <c r="J47" s="73" t="s">
        <v>175</v>
      </c>
      <c r="K47" s="73" t="s">
        <v>176</v>
      </c>
    </row>
    <row r="48" spans="1:19" hidden="1" x14ac:dyDescent="0.3">
      <c r="A48" s="51"/>
      <c r="B48" s="52"/>
      <c r="C48" s="53"/>
      <c r="D48" s="53"/>
      <c r="E48" s="51"/>
      <c r="F48" s="51"/>
      <c r="G48" s="51"/>
      <c r="H48" s="51"/>
      <c r="I48" s="51"/>
      <c r="J48" s="51"/>
      <c r="K48" s="2"/>
    </row>
    <row r="49" spans="1:29" ht="15" thickBot="1" x14ac:dyDescent="0.35">
      <c r="A49" s="51"/>
      <c r="B49" s="52"/>
      <c r="C49" s="53"/>
      <c r="D49" s="53"/>
      <c r="E49" s="51"/>
      <c r="F49" s="51"/>
      <c r="G49" s="51"/>
      <c r="H49" s="51"/>
      <c r="I49" s="51"/>
      <c r="J49" s="51"/>
      <c r="K49" s="2"/>
    </row>
    <row r="50" spans="1:29" ht="15" thickBot="1" x14ac:dyDescent="0.35">
      <c r="B50" s="60" t="s">
        <v>34</v>
      </c>
      <c r="C50" s="61">
        <v>2</v>
      </c>
      <c r="E50" s="2"/>
      <c r="F50" s="2"/>
      <c r="H50" s="2"/>
      <c r="J50" s="2"/>
      <c r="K50" s="2"/>
    </row>
    <row r="51" spans="1:29" x14ac:dyDescent="0.3">
      <c r="E51" s="2"/>
      <c r="F51" s="2"/>
      <c r="H51" s="2"/>
      <c r="J51" s="2"/>
      <c r="K51" s="2"/>
    </row>
    <row r="52" spans="1:29" hidden="1" x14ac:dyDescent="0.3">
      <c r="E52" s="2"/>
      <c r="F52" s="2"/>
      <c r="H52" s="2"/>
      <c r="J52" s="2"/>
      <c r="K52" s="2"/>
    </row>
    <row r="53" spans="1:29" s="2" customFormat="1" ht="34.35" customHeight="1" x14ac:dyDescent="0.3">
      <c r="A53" s="62" t="s">
        <v>0</v>
      </c>
      <c r="B53" s="62" t="s">
        <v>1</v>
      </c>
      <c r="C53" s="62" t="s">
        <v>2</v>
      </c>
      <c r="D53" s="62" t="s">
        <v>3</v>
      </c>
      <c r="E53" s="62" t="s">
        <v>4</v>
      </c>
      <c r="F53" s="62" t="s">
        <v>51</v>
      </c>
      <c r="G53" s="62" t="s">
        <v>52</v>
      </c>
      <c r="H53" s="62" t="s">
        <v>5</v>
      </c>
      <c r="I53" s="62" t="s">
        <v>53</v>
      </c>
      <c r="J53" s="62" t="s">
        <v>27</v>
      </c>
      <c r="K53" s="62" t="s">
        <v>6</v>
      </c>
    </row>
    <row r="54" spans="1:29" s="2" customFormat="1" x14ac:dyDescent="0.3">
      <c r="A54" s="73" t="s">
        <v>288</v>
      </c>
      <c r="B54" s="74">
        <v>46072</v>
      </c>
      <c r="C54" s="75">
        <v>1</v>
      </c>
      <c r="D54" s="75">
        <v>0</v>
      </c>
      <c r="E54" s="73" t="s">
        <v>40</v>
      </c>
      <c r="F54" s="73" t="s">
        <v>98</v>
      </c>
      <c r="G54" s="73" t="s">
        <v>55</v>
      </c>
      <c r="H54" s="73" t="s">
        <v>33</v>
      </c>
      <c r="I54" s="73" t="s">
        <v>20</v>
      </c>
      <c r="J54" s="73" t="s">
        <v>165</v>
      </c>
      <c r="K54" s="73" t="s">
        <v>13</v>
      </c>
      <c r="L54" s="4"/>
      <c r="M54" s="4"/>
      <c r="N54" s="4"/>
      <c r="O54" s="4"/>
      <c r="P54" s="4"/>
      <c r="Q54" s="4"/>
      <c r="R54" s="3"/>
      <c r="S54" s="3"/>
      <c r="T54" s="4"/>
      <c r="U54" s="4"/>
      <c r="V54" s="4"/>
      <c r="W54" s="4"/>
      <c r="X54" s="4"/>
      <c r="Y54" s="4"/>
      <c r="Z54" s="4"/>
      <c r="AA54" s="4"/>
      <c r="AB54" s="4"/>
      <c r="AC54" s="4"/>
    </row>
    <row r="55" spans="1:29" s="2" customFormat="1" x14ac:dyDescent="0.3">
      <c r="A55" s="73" t="s">
        <v>309</v>
      </c>
      <c r="B55" s="74">
        <v>46080</v>
      </c>
      <c r="C55" s="75">
        <v>1</v>
      </c>
      <c r="D55" s="75">
        <v>0</v>
      </c>
      <c r="E55" s="73" t="s">
        <v>263</v>
      </c>
      <c r="F55" s="73" t="s">
        <v>98</v>
      </c>
      <c r="G55" s="73" t="s">
        <v>55</v>
      </c>
      <c r="H55" s="73" t="s">
        <v>8</v>
      </c>
      <c r="I55" s="73" t="s">
        <v>20</v>
      </c>
      <c r="J55" s="73" t="s">
        <v>310</v>
      </c>
      <c r="K55" s="73" t="s">
        <v>311</v>
      </c>
      <c r="L55" s="4"/>
      <c r="M55" s="4"/>
      <c r="N55" s="4"/>
      <c r="O55" s="4"/>
      <c r="P55" s="4"/>
      <c r="Q55" s="4"/>
      <c r="R55" s="3"/>
      <c r="S55" s="3"/>
      <c r="T55" s="4"/>
      <c r="U55" s="4"/>
      <c r="V55" s="4"/>
      <c r="W55" s="4"/>
      <c r="X55" s="4"/>
      <c r="Y55" s="4"/>
      <c r="Z55" s="4"/>
      <c r="AA55" s="4"/>
      <c r="AB55" s="4"/>
      <c r="AC55" s="4"/>
    </row>
    <row r="56" spans="1:29" s="2" customFormat="1" x14ac:dyDescent="0.3">
      <c r="A56" s="73" t="s">
        <v>317</v>
      </c>
      <c r="B56" s="74">
        <v>46084</v>
      </c>
      <c r="C56" s="75">
        <v>1</v>
      </c>
      <c r="D56" s="75">
        <v>0</v>
      </c>
      <c r="E56" s="73" t="s">
        <v>318</v>
      </c>
      <c r="F56" s="73" t="s">
        <v>98</v>
      </c>
      <c r="G56" s="73" t="s">
        <v>55</v>
      </c>
      <c r="H56" s="73" t="s">
        <v>33</v>
      </c>
      <c r="I56" s="73" t="s">
        <v>20</v>
      </c>
      <c r="J56" s="73" t="s">
        <v>42</v>
      </c>
      <c r="K56" s="73" t="s">
        <v>311</v>
      </c>
      <c r="L56" s="4"/>
      <c r="M56" s="4"/>
      <c r="N56" s="4"/>
      <c r="O56" s="4"/>
      <c r="P56" s="4"/>
      <c r="Q56" s="4"/>
      <c r="R56" s="3"/>
      <c r="S56" s="3"/>
      <c r="T56" s="4"/>
      <c r="U56" s="4"/>
      <c r="V56" s="4"/>
      <c r="W56" s="4"/>
      <c r="X56" s="4"/>
      <c r="Y56" s="4"/>
      <c r="Z56" s="4"/>
      <c r="AA56" s="4"/>
      <c r="AB56" s="4"/>
      <c r="AC56" s="4"/>
    </row>
    <row r="57" spans="1:29" s="2" customFormat="1" x14ac:dyDescent="0.3">
      <c r="A57" s="73" t="s">
        <v>319</v>
      </c>
      <c r="B57" s="74">
        <v>46085</v>
      </c>
      <c r="C57" s="75">
        <v>1</v>
      </c>
      <c r="D57" s="75">
        <v>0</v>
      </c>
      <c r="E57" s="73" t="s">
        <v>320</v>
      </c>
      <c r="F57" s="73" t="s">
        <v>200</v>
      </c>
      <c r="G57" s="73" t="s">
        <v>55</v>
      </c>
      <c r="H57" s="73" t="s">
        <v>33</v>
      </c>
      <c r="I57" s="73" t="s">
        <v>20</v>
      </c>
      <c r="J57" s="73" t="s">
        <v>321</v>
      </c>
      <c r="K57" s="73" t="s">
        <v>13</v>
      </c>
      <c r="L57" s="4"/>
      <c r="M57" s="4"/>
      <c r="N57" s="4"/>
      <c r="O57" s="4"/>
      <c r="P57" s="4"/>
      <c r="Q57" s="4"/>
      <c r="R57" s="3"/>
      <c r="S57" s="3"/>
      <c r="T57" s="4"/>
      <c r="U57" s="4"/>
      <c r="V57" s="4"/>
      <c r="W57" s="4"/>
      <c r="X57" s="4"/>
      <c r="Y57" s="4"/>
      <c r="Z57" s="4"/>
      <c r="AA57" s="4"/>
      <c r="AB57" s="4"/>
      <c r="AC57" s="4"/>
    </row>
    <row r="58" spans="1:29" s="2" customFormat="1" ht="15" thickBot="1" x14ac:dyDescent="0.35">
      <c r="A58" s="77"/>
      <c r="B58" s="78"/>
      <c r="C58" s="79"/>
      <c r="D58" s="79"/>
      <c r="E58" s="77"/>
      <c r="F58" s="77"/>
      <c r="G58" s="77"/>
      <c r="H58" s="77"/>
      <c r="I58" s="77"/>
      <c r="J58" s="77"/>
      <c r="K58" s="77"/>
      <c r="L58" s="4"/>
      <c r="M58" s="4"/>
      <c r="N58" s="4"/>
      <c r="O58" s="4"/>
      <c r="P58" s="4"/>
      <c r="Q58" s="4"/>
      <c r="R58" s="3"/>
      <c r="S58" s="3"/>
      <c r="T58" s="4"/>
      <c r="U58" s="4"/>
      <c r="V58" s="4"/>
      <c r="W58" s="4"/>
      <c r="X58" s="4"/>
      <c r="Y58" s="4"/>
      <c r="Z58" s="4"/>
      <c r="AA58" s="4"/>
      <c r="AB58" s="4"/>
      <c r="AC58" s="4"/>
    </row>
    <row r="59" spans="1:29" ht="15" thickBot="1" x14ac:dyDescent="0.35">
      <c r="B59" s="38" t="s">
        <v>266</v>
      </c>
      <c r="C59" s="22">
        <v>4</v>
      </c>
    </row>
  </sheetData>
  <autoFilter ref="A3:J29" xr:uid="{6E392464-0CD5-4B6C-9B5A-A4EF4B03C567}">
    <sortState xmlns:xlrd2="http://schemas.microsoft.com/office/spreadsheetml/2017/richdata2" ref="A4:J39">
      <sortCondition ref="B3:B29"/>
    </sortState>
  </autoFilter>
  <conditionalFormatting sqref="F1:F40">
    <cfRule type="cellIs" dxfId="115" priority="3" operator="equal">
      <formula>"Non-Billable"</formula>
    </cfRule>
    <cfRule type="cellIs" dxfId="114" priority="4" operator="equal">
      <formula>"Billable"</formula>
    </cfRule>
  </conditionalFormatting>
  <conditionalFormatting sqref="F41">
    <cfRule type="cellIs" dxfId="113" priority="47" operator="equal">
      <formula>"Not Accepting Application"</formula>
    </cfRule>
    <cfRule type="cellIs" dxfId="112" priority="48" operator="equal">
      <formula>"Y"</formula>
    </cfRule>
  </conditionalFormatting>
  <conditionalFormatting sqref="F43:F1048576">
    <cfRule type="cellIs" dxfId="111" priority="1" operator="equal">
      <formula>"Non-Billable"</formula>
    </cfRule>
    <cfRule type="cellIs" dxfId="110" priority="2" operator="equal">
      <formula>"Billable"</formula>
    </cfRule>
  </conditionalFormatting>
  <conditionalFormatting sqref="H1:H2 H4:H40 F41 H42:H44 H46:H52 H54:H1048576">
    <cfRule type="cellIs" dxfId="109" priority="45" operator="equal">
      <formula>"Not accpeting applications"</formula>
    </cfRule>
  </conditionalFormatting>
  <conditionalFormatting sqref="H1:H2 H4:H40 H42:H44 H46:H52 AG54:AG59 H54:H1048576">
    <cfRule type="cellIs" dxfId="108" priority="44" operator="equal">
      <formula>"Not Accepting Applications"</formula>
    </cfRule>
  </conditionalFormatting>
  <conditionalFormatting sqref="H4:H40">
    <cfRule type="cellIs" dxfId="107" priority="46" operator="equal">
      <formula>"Accepting Applications"</formula>
    </cfRule>
  </conditionalFormatting>
  <conditionalFormatting sqref="H46:H47">
    <cfRule type="cellIs" dxfId="106" priority="49" operator="equal">
      <formula>"Not Accepting Application"</formula>
    </cfRule>
    <cfRule type="cellIs" dxfId="105" priority="50" operator="equal">
      <formula>"Accepting Applications"</formula>
    </cfRule>
    <cfRule type="cellIs" dxfId="104" priority="51" operator="equal">
      <formula>"Y"</formula>
    </cfRule>
  </conditionalFormatting>
  <conditionalFormatting sqref="I1:I40 F41:G41 I43:I1048576">
    <cfRule type="cellIs" dxfId="103" priority="42" operator="equal">
      <formula>"Accepting Applications"</formula>
    </cfRule>
    <cfRule type="cellIs" dxfId="102" priority="43" operator="equal">
      <formula>"Not Accepting Applications"</formula>
    </cfRule>
  </conditionalFormatting>
  <conditionalFormatting sqref="I1:I40 G41 I43:I1048576">
    <cfRule type="cellIs" dxfId="101" priority="41" operator="equal">
      <formula>"Pending"</formula>
    </cfRule>
  </conditionalFormatting>
  <pageMargins left="0.7" right="0.7" top="0.75" bottom="0.75" header="0.3" footer="0.3"/>
  <pageSetup orientation="landscape" horizontalDpi="4294967295" verticalDpi="4294967295"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8C6A5-492B-4449-B264-CE98BE45E828}">
  <sheetPr>
    <tabColor theme="2" tint="-0.499984740745262"/>
  </sheetPr>
  <dimension ref="A1:AC68"/>
  <sheetViews>
    <sheetView showGridLines="0" zoomScale="90" zoomScaleNormal="90" workbookViewId="0">
      <selection activeCell="F9" sqref="F9"/>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0.33333333333333331</v>
      </c>
      <c r="B1" s="37">
        <v>46083</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73" t="s">
        <v>74</v>
      </c>
      <c r="B4" s="74">
        <v>46076</v>
      </c>
      <c r="C4" s="75">
        <v>1</v>
      </c>
      <c r="D4" s="75">
        <v>0</v>
      </c>
      <c r="E4" s="73" t="s">
        <v>75</v>
      </c>
      <c r="F4" s="73" t="s">
        <v>98</v>
      </c>
      <c r="G4" s="73" t="s">
        <v>7</v>
      </c>
      <c r="H4" s="73" t="s">
        <v>76</v>
      </c>
      <c r="I4" s="73" t="s">
        <v>9</v>
      </c>
      <c r="J4" s="73" t="s">
        <v>77</v>
      </c>
      <c r="K4" s="73" t="s">
        <v>13</v>
      </c>
      <c r="AB4" s="2" t="s">
        <v>10</v>
      </c>
      <c r="AC4" s="2" t="s">
        <v>11</v>
      </c>
    </row>
    <row r="5" spans="1:29" s="2" customFormat="1" x14ac:dyDescent="0.3">
      <c r="A5" s="73" t="s">
        <v>92</v>
      </c>
      <c r="B5" s="74">
        <v>46080</v>
      </c>
      <c r="C5" s="75">
        <v>1</v>
      </c>
      <c r="D5" s="75">
        <v>0</v>
      </c>
      <c r="E5" s="73" t="s">
        <v>93</v>
      </c>
      <c r="F5" s="73" t="s">
        <v>98</v>
      </c>
      <c r="G5" s="73" t="s">
        <v>7</v>
      </c>
      <c r="H5" s="73" t="s">
        <v>18</v>
      </c>
      <c r="I5" s="73" t="s">
        <v>56</v>
      </c>
      <c r="J5" s="73" t="s">
        <v>95</v>
      </c>
      <c r="K5" s="73" t="s">
        <v>91</v>
      </c>
      <c r="AB5" s="2" t="s">
        <v>14</v>
      </c>
      <c r="AC5" s="2">
        <v>17</v>
      </c>
    </row>
    <row r="6" spans="1:29" s="2" customFormat="1" x14ac:dyDescent="0.3">
      <c r="A6" s="73" t="s">
        <v>128</v>
      </c>
      <c r="B6" s="74">
        <v>46035</v>
      </c>
      <c r="C6" s="75">
        <v>1</v>
      </c>
      <c r="D6" s="75">
        <v>0</v>
      </c>
      <c r="E6" s="73" t="s">
        <v>129</v>
      </c>
      <c r="F6" s="73" t="s">
        <v>200</v>
      </c>
      <c r="G6" s="73" t="s">
        <v>7</v>
      </c>
      <c r="H6" s="73" t="s">
        <v>64</v>
      </c>
      <c r="I6" s="73" t="s">
        <v>9</v>
      </c>
      <c r="J6" s="73" t="s">
        <v>65</v>
      </c>
      <c r="K6" s="73" t="s">
        <v>48</v>
      </c>
      <c r="N6" s="10"/>
      <c r="AB6" s="2" t="s">
        <v>15</v>
      </c>
      <c r="AC6" s="2">
        <v>3</v>
      </c>
    </row>
    <row r="7" spans="1:29" s="2" customFormat="1" x14ac:dyDescent="0.3">
      <c r="A7" s="73" t="s">
        <v>152</v>
      </c>
      <c r="B7" s="74">
        <v>46006</v>
      </c>
      <c r="C7" s="75">
        <v>1</v>
      </c>
      <c r="D7" s="75">
        <v>0</v>
      </c>
      <c r="E7" s="73" t="s">
        <v>153</v>
      </c>
      <c r="F7" s="73" t="s">
        <v>200</v>
      </c>
      <c r="G7" s="73" t="s">
        <v>7</v>
      </c>
      <c r="H7" s="73" t="s">
        <v>33</v>
      </c>
      <c r="I7" s="73" t="s">
        <v>20</v>
      </c>
      <c r="J7" s="73" t="s">
        <v>77</v>
      </c>
      <c r="K7" s="73" t="s">
        <v>13</v>
      </c>
      <c r="N7" s="10"/>
      <c r="V7" s="11"/>
      <c r="AB7" s="2" t="s">
        <v>16</v>
      </c>
      <c r="AC7" s="2">
        <v>4</v>
      </c>
    </row>
    <row r="8" spans="1:29" s="2" customFormat="1" x14ac:dyDescent="0.3">
      <c r="A8" s="73" t="s">
        <v>157</v>
      </c>
      <c r="B8" s="74">
        <v>46063</v>
      </c>
      <c r="C8" s="75">
        <v>1</v>
      </c>
      <c r="D8" s="75">
        <v>0</v>
      </c>
      <c r="E8" s="73" t="s">
        <v>158</v>
      </c>
      <c r="F8" s="73" t="s">
        <v>98</v>
      </c>
      <c r="G8" s="73" t="s">
        <v>7</v>
      </c>
      <c r="H8" s="73" t="s">
        <v>17</v>
      </c>
      <c r="I8" s="73" t="s">
        <v>9</v>
      </c>
      <c r="J8" s="73" t="s">
        <v>159</v>
      </c>
      <c r="K8" s="73" t="s">
        <v>28</v>
      </c>
      <c r="N8" s="10"/>
    </row>
    <row r="9" spans="1:29" s="2" customFormat="1" x14ac:dyDescent="0.3">
      <c r="A9" s="73" t="s">
        <v>163</v>
      </c>
      <c r="B9" s="74">
        <v>46069</v>
      </c>
      <c r="C9" s="75">
        <v>1</v>
      </c>
      <c r="D9" s="75">
        <v>0</v>
      </c>
      <c r="E9" s="73" t="s">
        <v>164</v>
      </c>
      <c r="F9" s="73" t="s">
        <v>98</v>
      </c>
      <c r="G9" s="73" t="s">
        <v>7</v>
      </c>
      <c r="H9" s="73" t="s">
        <v>18</v>
      </c>
      <c r="I9" s="73" t="s">
        <v>56</v>
      </c>
      <c r="J9" s="73" t="s">
        <v>165</v>
      </c>
      <c r="K9" s="73" t="s">
        <v>13</v>
      </c>
    </row>
    <row r="10" spans="1:29" s="2" customFormat="1" x14ac:dyDescent="0.3">
      <c r="A10" s="73" t="s">
        <v>202</v>
      </c>
      <c r="B10" s="74">
        <v>46077</v>
      </c>
      <c r="C10" s="75">
        <v>1</v>
      </c>
      <c r="D10" s="75">
        <v>0</v>
      </c>
      <c r="E10" s="73" t="s">
        <v>54</v>
      </c>
      <c r="F10" s="73" t="s">
        <v>98</v>
      </c>
      <c r="G10" s="73" t="s">
        <v>7</v>
      </c>
      <c r="H10" s="73" t="s">
        <v>18</v>
      </c>
      <c r="I10" s="73" t="s">
        <v>56</v>
      </c>
      <c r="J10" s="73" t="s">
        <v>203</v>
      </c>
      <c r="K10" s="73" t="s">
        <v>19</v>
      </c>
    </row>
    <row r="11" spans="1:29" s="2" customFormat="1" x14ac:dyDescent="0.3">
      <c r="A11" s="73" t="s">
        <v>204</v>
      </c>
      <c r="B11" s="74">
        <v>46063</v>
      </c>
      <c r="C11" s="75">
        <v>1</v>
      </c>
      <c r="D11" s="75">
        <v>0</v>
      </c>
      <c r="E11" s="73" t="s">
        <v>205</v>
      </c>
      <c r="F11" s="73" t="s">
        <v>98</v>
      </c>
      <c r="G11" s="73" t="s">
        <v>7</v>
      </c>
      <c r="H11" s="73" t="s">
        <v>17</v>
      </c>
      <c r="I11" s="73" t="s">
        <v>9</v>
      </c>
      <c r="J11" s="73" t="s">
        <v>206</v>
      </c>
      <c r="K11" s="73" t="s">
        <v>13</v>
      </c>
    </row>
    <row r="12" spans="1:29" s="2" customFormat="1" x14ac:dyDescent="0.3">
      <c r="A12" s="73" t="s">
        <v>209</v>
      </c>
      <c r="B12" s="74">
        <v>46063</v>
      </c>
      <c r="C12" s="75">
        <v>1</v>
      </c>
      <c r="D12" s="75">
        <v>0</v>
      </c>
      <c r="E12" s="73" t="s">
        <v>210</v>
      </c>
      <c r="F12" s="73" t="s">
        <v>98</v>
      </c>
      <c r="G12" s="73" t="s">
        <v>7</v>
      </c>
      <c r="H12" s="73" t="s">
        <v>17</v>
      </c>
      <c r="I12" s="73" t="s">
        <v>9</v>
      </c>
      <c r="J12" s="73" t="s">
        <v>206</v>
      </c>
      <c r="K12" s="73" t="s">
        <v>13</v>
      </c>
    </row>
    <row r="13" spans="1:29" s="2" customFormat="1" x14ac:dyDescent="0.3">
      <c r="A13" s="73" t="s">
        <v>217</v>
      </c>
      <c r="B13" s="74">
        <v>46051</v>
      </c>
      <c r="C13" s="75">
        <v>1</v>
      </c>
      <c r="D13" s="75">
        <v>0</v>
      </c>
      <c r="E13" s="73" t="s">
        <v>218</v>
      </c>
      <c r="F13" s="73" t="s">
        <v>200</v>
      </c>
      <c r="G13" s="73" t="s">
        <v>7</v>
      </c>
      <c r="H13" s="73" t="s">
        <v>148</v>
      </c>
      <c r="I13" s="73" t="s">
        <v>9</v>
      </c>
      <c r="J13" s="73" t="s">
        <v>121</v>
      </c>
      <c r="K13" s="73" t="s">
        <v>13</v>
      </c>
    </row>
    <row r="14" spans="1:29" s="2" customFormat="1" x14ac:dyDescent="0.3">
      <c r="A14" s="73" t="s">
        <v>221</v>
      </c>
      <c r="B14" s="74">
        <v>46050</v>
      </c>
      <c r="C14" s="75">
        <v>2</v>
      </c>
      <c r="D14" s="75">
        <v>0</v>
      </c>
      <c r="E14" s="73" t="s">
        <v>201</v>
      </c>
      <c r="F14" s="73" t="s">
        <v>200</v>
      </c>
      <c r="G14" s="73" t="s">
        <v>7</v>
      </c>
      <c r="H14" s="73" t="s">
        <v>47</v>
      </c>
      <c r="I14" s="73" t="s">
        <v>9</v>
      </c>
      <c r="J14" s="73" t="s">
        <v>105</v>
      </c>
      <c r="K14" s="73" t="s">
        <v>43</v>
      </c>
    </row>
    <row r="15" spans="1:29" s="2" customFormat="1" x14ac:dyDescent="0.3">
      <c r="A15" s="73" t="s">
        <v>222</v>
      </c>
      <c r="B15" s="74">
        <v>46079</v>
      </c>
      <c r="C15" s="75">
        <v>1</v>
      </c>
      <c r="D15" s="75">
        <v>0</v>
      </c>
      <c r="E15" s="73" t="s">
        <v>223</v>
      </c>
      <c r="F15" s="73" t="s">
        <v>200</v>
      </c>
      <c r="G15" s="73" t="s">
        <v>7</v>
      </c>
      <c r="H15" s="73" t="s">
        <v>305</v>
      </c>
      <c r="I15" s="73" t="s">
        <v>9</v>
      </c>
      <c r="J15" s="73" t="s">
        <v>180</v>
      </c>
      <c r="K15" s="73" t="s">
        <v>13</v>
      </c>
    </row>
    <row r="16" spans="1:29" s="2" customFormat="1" x14ac:dyDescent="0.3">
      <c r="A16" s="73" t="s">
        <v>226</v>
      </c>
      <c r="B16" s="74">
        <v>46079</v>
      </c>
      <c r="C16" s="75">
        <v>2</v>
      </c>
      <c r="D16" s="75">
        <v>1</v>
      </c>
      <c r="E16" s="73" t="s">
        <v>227</v>
      </c>
      <c r="F16" s="73" t="s">
        <v>200</v>
      </c>
      <c r="G16" s="73" t="s">
        <v>7</v>
      </c>
      <c r="H16" s="73" t="s">
        <v>306</v>
      </c>
      <c r="I16" s="73" t="s">
        <v>9</v>
      </c>
      <c r="J16" s="73" t="s">
        <v>180</v>
      </c>
      <c r="K16" s="73" t="s">
        <v>13</v>
      </c>
    </row>
    <row r="17" spans="1:11" s="2" customFormat="1" x14ac:dyDescent="0.3">
      <c r="A17" s="73" t="s">
        <v>228</v>
      </c>
      <c r="B17" s="74">
        <v>46045</v>
      </c>
      <c r="C17" s="75">
        <v>1</v>
      </c>
      <c r="D17" s="75">
        <v>0</v>
      </c>
      <c r="E17" s="73" t="s">
        <v>30</v>
      </c>
      <c r="F17" s="73" t="s">
        <v>200</v>
      </c>
      <c r="G17" s="73" t="s">
        <v>7</v>
      </c>
      <c r="H17" s="73" t="s">
        <v>8</v>
      </c>
      <c r="I17" s="73" t="s">
        <v>9</v>
      </c>
      <c r="J17" s="73" t="s">
        <v>12</v>
      </c>
      <c r="K17" s="73" t="s">
        <v>24</v>
      </c>
    </row>
    <row r="18" spans="1:11" s="2" customFormat="1" x14ac:dyDescent="0.3">
      <c r="A18" s="73" t="s">
        <v>229</v>
      </c>
      <c r="B18" s="74">
        <v>46065</v>
      </c>
      <c r="C18" s="75">
        <v>3</v>
      </c>
      <c r="D18" s="75">
        <v>2</v>
      </c>
      <c r="E18" s="73" t="s">
        <v>45</v>
      </c>
      <c r="F18" s="73" t="s">
        <v>200</v>
      </c>
      <c r="G18" s="73" t="s">
        <v>7</v>
      </c>
      <c r="H18" s="73" t="s">
        <v>272</v>
      </c>
      <c r="I18" s="73" t="s">
        <v>20</v>
      </c>
      <c r="J18" s="73" t="s">
        <v>121</v>
      </c>
      <c r="K18" s="73" t="s">
        <v>13</v>
      </c>
    </row>
    <row r="19" spans="1:11" s="2" customFormat="1" ht="15" customHeight="1" x14ac:dyDescent="0.3">
      <c r="A19" s="73" t="s">
        <v>230</v>
      </c>
      <c r="B19" s="74">
        <v>46065</v>
      </c>
      <c r="C19" s="75">
        <v>1</v>
      </c>
      <c r="D19" s="75">
        <v>0</v>
      </c>
      <c r="E19" s="73" t="s">
        <v>263</v>
      </c>
      <c r="F19" s="73" t="s">
        <v>200</v>
      </c>
      <c r="G19" s="73" t="s">
        <v>7</v>
      </c>
      <c r="H19" s="73" t="s">
        <v>274</v>
      </c>
      <c r="I19" s="73" t="s">
        <v>9</v>
      </c>
      <c r="J19" s="73" t="s">
        <v>12</v>
      </c>
      <c r="K19" s="73" t="s">
        <v>24</v>
      </c>
    </row>
    <row r="20" spans="1:11" s="2" customFormat="1" ht="13.95" customHeight="1" x14ac:dyDescent="0.3">
      <c r="A20" s="73" t="s">
        <v>233</v>
      </c>
      <c r="B20" s="74">
        <v>46050</v>
      </c>
      <c r="C20" s="75">
        <v>3</v>
      </c>
      <c r="D20" s="75">
        <v>0</v>
      </c>
      <c r="E20" s="73" t="s">
        <v>63</v>
      </c>
      <c r="F20" s="73" t="s">
        <v>200</v>
      </c>
      <c r="G20" s="73" t="s">
        <v>7</v>
      </c>
      <c r="H20" s="73" t="s">
        <v>33</v>
      </c>
      <c r="I20" s="73" t="s">
        <v>20</v>
      </c>
      <c r="J20" s="73" t="s">
        <v>65</v>
      </c>
      <c r="K20" s="73" t="s">
        <v>48</v>
      </c>
    </row>
    <row r="21" spans="1:11" s="2" customFormat="1" x14ac:dyDescent="0.3">
      <c r="A21" s="73" t="s">
        <v>234</v>
      </c>
      <c r="B21" s="74">
        <v>46056</v>
      </c>
      <c r="C21" s="75">
        <v>30</v>
      </c>
      <c r="D21" s="75">
        <v>6</v>
      </c>
      <c r="E21" s="73" t="s">
        <v>45</v>
      </c>
      <c r="F21" s="73" t="s">
        <v>200</v>
      </c>
      <c r="G21" s="73" t="s">
        <v>7</v>
      </c>
      <c r="H21" s="73" t="s">
        <v>259</v>
      </c>
      <c r="I21" s="73" t="s">
        <v>20</v>
      </c>
      <c r="J21" s="73" t="s">
        <v>49</v>
      </c>
      <c r="K21" s="73" t="s">
        <v>91</v>
      </c>
    </row>
    <row r="22" spans="1:11" s="2" customFormat="1" x14ac:dyDescent="0.3">
      <c r="A22" s="73" t="s">
        <v>251</v>
      </c>
      <c r="B22" s="74">
        <v>46077</v>
      </c>
      <c r="C22" s="75">
        <v>1</v>
      </c>
      <c r="D22" s="75">
        <v>0</v>
      </c>
      <c r="E22" s="73" t="s">
        <v>193</v>
      </c>
      <c r="F22" s="73" t="s">
        <v>98</v>
      </c>
      <c r="G22" s="73" t="s">
        <v>7</v>
      </c>
      <c r="H22" s="73" t="s">
        <v>18</v>
      </c>
      <c r="I22" s="73" t="s">
        <v>56</v>
      </c>
      <c r="J22" s="73" t="s">
        <v>252</v>
      </c>
      <c r="K22" s="73" t="s">
        <v>48</v>
      </c>
    </row>
    <row r="23" spans="1:11" s="2" customFormat="1" x14ac:dyDescent="0.3">
      <c r="A23" s="73" t="s">
        <v>243</v>
      </c>
      <c r="B23" s="74">
        <v>46076</v>
      </c>
      <c r="C23" s="75">
        <v>1</v>
      </c>
      <c r="D23" s="75">
        <v>0</v>
      </c>
      <c r="E23" s="73" t="s">
        <v>244</v>
      </c>
      <c r="F23" s="73" t="s">
        <v>98</v>
      </c>
      <c r="G23" s="73" t="s">
        <v>7</v>
      </c>
      <c r="H23" s="73" t="s">
        <v>102</v>
      </c>
      <c r="I23" s="73" t="s">
        <v>20</v>
      </c>
      <c r="J23" s="73" t="s">
        <v>103</v>
      </c>
      <c r="K23" s="73" t="s">
        <v>21</v>
      </c>
    </row>
    <row r="24" spans="1:11" s="2" customFormat="1" ht="15" customHeight="1" x14ac:dyDescent="0.3">
      <c r="A24" s="73" t="s">
        <v>246</v>
      </c>
      <c r="B24" s="74">
        <v>46055</v>
      </c>
      <c r="C24" s="75">
        <v>1</v>
      </c>
      <c r="D24" s="75">
        <v>0</v>
      </c>
      <c r="E24" s="73" t="s">
        <v>232</v>
      </c>
      <c r="F24" s="73" t="s">
        <v>200</v>
      </c>
      <c r="G24" s="73" t="s">
        <v>7</v>
      </c>
      <c r="H24" s="73" t="s">
        <v>33</v>
      </c>
      <c r="I24" s="73" t="s">
        <v>20</v>
      </c>
      <c r="J24" s="73" t="s">
        <v>65</v>
      </c>
      <c r="K24" s="73" t="s">
        <v>48</v>
      </c>
    </row>
    <row r="25" spans="1:11" s="2" customFormat="1" x14ac:dyDescent="0.3">
      <c r="A25" s="73" t="s">
        <v>247</v>
      </c>
      <c r="B25" s="74">
        <v>46056</v>
      </c>
      <c r="C25" s="75">
        <v>1</v>
      </c>
      <c r="D25" s="75">
        <v>0</v>
      </c>
      <c r="E25" s="73" t="s">
        <v>120</v>
      </c>
      <c r="F25" s="73" t="s">
        <v>200</v>
      </c>
      <c r="G25" s="73" t="s">
        <v>7</v>
      </c>
      <c r="H25" s="73" t="s">
        <v>260</v>
      </c>
      <c r="I25" s="73" t="s">
        <v>9</v>
      </c>
      <c r="J25" s="73" t="s">
        <v>248</v>
      </c>
      <c r="K25" s="73" t="s">
        <v>43</v>
      </c>
    </row>
    <row r="26" spans="1:11" s="2" customFormat="1" x14ac:dyDescent="0.3">
      <c r="A26" s="73" t="s">
        <v>249</v>
      </c>
      <c r="B26" s="74">
        <v>46076</v>
      </c>
      <c r="C26" s="75">
        <v>2</v>
      </c>
      <c r="D26" s="75">
        <v>0</v>
      </c>
      <c r="E26" s="73" t="s">
        <v>45</v>
      </c>
      <c r="F26" s="73" t="s">
        <v>200</v>
      </c>
      <c r="G26" s="73" t="s">
        <v>7</v>
      </c>
      <c r="H26" s="73" t="s">
        <v>27</v>
      </c>
      <c r="I26" s="73" t="s">
        <v>20</v>
      </c>
      <c r="J26" s="73" t="s">
        <v>121</v>
      </c>
      <c r="K26" s="73" t="s">
        <v>13</v>
      </c>
    </row>
    <row r="27" spans="1:11" s="2" customFormat="1" x14ac:dyDescent="0.3">
      <c r="A27" s="73" t="s">
        <v>253</v>
      </c>
      <c r="B27" s="74">
        <v>46069</v>
      </c>
      <c r="C27" s="75">
        <v>1</v>
      </c>
      <c r="D27" s="75">
        <v>0</v>
      </c>
      <c r="E27" s="73" t="s">
        <v>244</v>
      </c>
      <c r="F27" s="73" t="s">
        <v>98</v>
      </c>
      <c r="G27" s="73" t="s">
        <v>7</v>
      </c>
      <c r="H27" s="73" t="s">
        <v>33</v>
      </c>
      <c r="I27" s="73" t="s">
        <v>20</v>
      </c>
      <c r="J27" s="73" t="s">
        <v>103</v>
      </c>
      <c r="K27" s="73" t="s">
        <v>21</v>
      </c>
    </row>
    <row r="28" spans="1:11" s="2" customFormat="1" x14ac:dyDescent="0.3">
      <c r="A28" s="73" t="s">
        <v>254</v>
      </c>
      <c r="B28" s="74">
        <v>46069</v>
      </c>
      <c r="C28" s="75">
        <v>1</v>
      </c>
      <c r="D28" s="75">
        <v>0</v>
      </c>
      <c r="E28" s="73" t="s">
        <v>101</v>
      </c>
      <c r="F28" s="73" t="s">
        <v>98</v>
      </c>
      <c r="G28" s="73" t="s">
        <v>7</v>
      </c>
      <c r="H28" s="73" t="s">
        <v>33</v>
      </c>
      <c r="I28" s="73" t="s">
        <v>20</v>
      </c>
      <c r="J28" s="73" t="s">
        <v>103</v>
      </c>
      <c r="K28" s="73" t="s">
        <v>21</v>
      </c>
    </row>
    <row r="29" spans="1:11" s="2" customFormat="1" x14ac:dyDescent="0.3">
      <c r="A29" s="73" t="s">
        <v>261</v>
      </c>
      <c r="B29" s="74">
        <v>46066</v>
      </c>
      <c r="C29" s="75">
        <v>1</v>
      </c>
      <c r="D29" s="75">
        <v>0</v>
      </c>
      <c r="E29" s="73" t="s">
        <v>262</v>
      </c>
      <c r="F29" s="73" t="s">
        <v>98</v>
      </c>
      <c r="G29" s="73" t="s">
        <v>7</v>
      </c>
      <c r="H29" s="73" t="s">
        <v>17</v>
      </c>
      <c r="I29" s="73" t="s">
        <v>9</v>
      </c>
      <c r="J29" s="73" t="s">
        <v>191</v>
      </c>
      <c r="K29" s="73" t="s">
        <v>13</v>
      </c>
    </row>
    <row r="30" spans="1:11" s="2" customFormat="1" ht="13.95" customHeight="1" x14ac:dyDescent="0.3">
      <c r="A30" s="73" t="s">
        <v>264</v>
      </c>
      <c r="B30" s="74">
        <v>46069</v>
      </c>
      <c r="C30" s="75">
        <v>1</v>
      </c>
      <c r="D30" s="75">
        <v>0</v>
      </c>
      <c r="E30" s="73" t="s">
        <v>29</v>
      </c>
      <c r="F30" s="73" t="s">
        <v>200</v>
      </c>
      <c r="G30" s="73" t="s">
        <v>7</v>
      </c>
      <c r="H30" s="73" t="s">
        <v>33</v>
      </c>
      <c r="I30" s="73" t="s">
        <v>20</v>
      </c>
      <c r="J30" s="73" t="s">
        <v>65</v>
      </c>
      <c r="K30" s="73" t="s">
        <v>48</v>
      </c>
    </row>
    <row r="31" spans="1:11" s="2" customFormat="1" ht="14.25" customHeight="1" x14ac:dyDescent="0.3">
      <c r="A31" s="73" t="s">
        <v>265</v>
      </c>
      <c r="B31" s="74">
        <v>46069</v>
      </c>
      <c r="C31" s="75">
        <v>1</v>
      </c>
      <c r="D31" s="75">
        <v>0</v>
      </c>
      <c r="E31" s="73" t="s">
        <v>29</v>
      </c>
      <c r="F31" s="73" t="s">
        <v>200</v>
      </c>
      <c r="G31" s="73" t="s">
        <v>7</v>
      </c>
      <c r="H31" s="73" t="s">
        <v>33</v>
      </c>
      <c r="I31" s="73" t="s">
        <v>20</v>
      </c>
      <c r="J31" s="73" t="s">
        <v>65</v>
      </c>
      <c r="K31" s="73" t="s">
        <v>48</v>
      </c>
    </row>
    <row r="32" spans="1:11" s="2" customFormat="1" ht="14.25" customHeight="1" x14ac:dyDescent="0.3">
      <c r="A32" s="73" t="s">
        <v>267</v>
      </c>
      <c r="B32" s="74">
        <v>46077</v>
      </c>
      <c r="C32" s="75">
        <v>1</v>
      </c>
      <c r="D32" s="75">
        <v>0</v>
      </c>
      <c r="E32" s="73" t="s">
        <v>268</v>
      </c>
      <c r="F32" s="73" t="s">
        <v>98</v>
      </c>
      <c r="G32" s="73" t="s">
        <v>7</v>
      </c>
      <c r="H32" s="73" t="s">
        <v>27</v>
      </c>
      <c r="I32" s="73" t="s">
        <v>9</v>
      </c>
      <c r="J32" s="73" t="s">
        <v>269</v>
      </c>
      <c r="K32" s="73" t="s">
        <v>22</v>
      </c>
    </row>
    <row r="33" spans="1:19" s="2" customFormat="1" ht="14.25" customHeight="1" x14ac:dyDescent="0.3">
      <c r="A33" s="73" t="s">
        <v>270</v>
      </c>
      <c r="B33" s="74">
        <v>46079</v>
      </c>
      <c r="C33" s="75">
        <v>1</v>
      </c>
      <c r="D33" s="75">
        <v>0</v>
      </c>
      <c r="E33" s="73" t="s">
        <v>25</v>
      </c>
      <c r="F33" s="73" t="s">
        <v>200</v>
      </c>
      <c r="G33" s="73" t="s">
        <v>7</v>
      </c>
      <c r="H33" s="73" t="s">
        <v>64</v>
      </c>
      <c r="I33" s="73" t="s">
        <v>9</v>
      </c>
      <c r="J33" s="73" t="s">
        <v>271</v>
      </c>
      <c r="K33" s="73" t="s">
        <v>19</v>
      </c>
    </row>
    <row r="34" spans="1:19" s="2" customFormat="1" ht="14.25" customHeight="1" x14ac:dyDescent="0.3">
      <c r="A34" s="73" t="s">
        <v>277</v>
      </c>
      <c r="B34" s="74">
        <v>46076</v>
      </c>
      <c r="C34" s="75">
        <v>1</v>
      </c>
      <c r="D34" s="75">
        <v>0</v>
      </c>
      <c r="E34" s="73" t="s">
        <v>283</v>
      </c>
      <c r="F34" s="73" t="s">
        <v>98</v>
      </c>
      <c r="G34" s="73" t="s">
        <v>7</v>
      </c>
      <c r="H34" s="73" t="s">
        <v>47</v>
      </c>
      <c r="I34" s="73" t="s">
        <v>9</v>
      </c>
      <c r="J34" s="73" t="s">
        <v>134</v>
      </c>
      <c r="K34" s="73" t="s">
        <v>13</v>
      </c>
    </row>
    <row r="35" spans="1:19" s="2" customFormat="1" ht="14.25" customHeight="1" x14ac:dyDescent="0.3">
      <c r="A35" s="73" t="s">
        <v>279</v>
      </c>
      <c r="B35" s="74">
        <v>46078</v>
      </c>
      <c r="C35" s="75">
        <v>1</v>
      </c>
      <c r="D35" s="75">
        <v>0</v>
      </c>
      <c r="E35" s="73" t="s">
        <v>153</v>
      </c>
      <c r="F35" s="73" t="s">
        <v>98</v>
      </c>
      <c r="G35" s="73" t="s">
        <v>7</v>
      </c>
      <c r="H35" s="73" t="s">
        <v>18</v>
      </c>
      <c r="I35" s="73" t="s">
        <v>56</v>
      </c>
      <c r="J35" s="73" t="s">
        <v>77</v>
      </c>
      <c r="K35" s="73" t="s">
        <v>21</v>
      </c>
    </row>
    <row r="36" spans="1:19" s="2" customFormat="1" ht="14.25" customHeight="1" x14ac:dyDescent="0.3">
      <c r="A36" s="73" t="s">
        <v>280</v>
      </c>
      <c r="B36" s="74">
        <v>46078</v>
      </c>
      <c r="C36" s="75">
        <v>1</v>
      </c>
      <c r="D36" s="75">
        <v>0</v>
      </c>
      <c r="E36" s="73" t="s">
        <v>153</v>
      </c>
      <c r="F36" s="73" t="s">
        <v>98</v>
      </c>
      <c r="G36" s="73" t="s">
        <v>7</v>
      </c>
      <c r="H36" s="73" t="s">
        <v>18</v>
      </c>
      <c r="I36" s="73" t="s">
        <v>56</v>
      </c>
      <c r="J36" s="73" t="s">
        <v>77</v>
      </c>
      <c r="K36" s="73" t="s">
        <v>21</v>
      </c>
    </row>
    <row r="37" spans="1:19" s="2" customFormat="1" ht="14.25" customHeight="1" x14ac:dyDescent="0.3">
      <c r="A37" s="73" t="s">
        <v>284</v>
      </c>
      <c r="B37" s="74">
        <v>46077</v>
      </c>
      <c r="C37" s="75">
        <v>1</v>
      </c>
      <c r="D37" s="75">
        <v>0</v>
      </c>
      <c r="E37" s="73" t="s">
        <v>285</v>
      </c>
      <c r="F37" s="73" t="s">
        <v>98</v>
      </c>
      <c r="G37" s="73" t="s">
        <v>7</v>
      </c>
      <c r="H37" s="73" t="s">
        <v>47</v>
      </c>
      <c r="I37" s="73" t="s">
        <v>9</v>
      </c>
      <c r="J37" s="73" t="s">
        <v>286</v>
      </c>
      <c r="K37" s="73" t="s">
        <v>287</v>
      </c>
    </row>
    <row r="38" spans="1:19" s="2" customFormat="1" ht="14.25" customHeight="1" x14ac:dyDescent="0.3">
      <c r="A38" s="73" t="s">
        <v>291</v>
      </c>
      <c r="B38" s="74">
        <v>46078</v>
      </c>
      <c r="C38" s="75">
        <v>1</v>
      </c>
      <c r="D38" s="75">
        <v>0</v>
      </c>
      <c r="E38" s="73" t="s">
        <v>292</v>
      </c>
      <c r="F38" s="73" t="s">
        <v>98</v>
      </c>
      <c r="G38" s="73" t="s">
        <v>7</v>
      </c>
      <c r="H38" s="73" t="s">
        <v>44</v>
      </c>
      <c r="I38" s="73" t="s">
        <v>9</v>
      </c>
      <c r="J38" s="73" t="s">
        <v>95</v>
      </c>
      <c r="K38" s="73" t="s">
        <v>13</v>
      </c>
    </row>
    <row r="39" spans="1:19" s="2" customFormat="1" ht="14.25" customHeight="1" x14ac:dyDescent="0.3">
      <c r="A39" s="73" t="s">
        <v>293</v>
      </c>
      <c r="B39" s="74">
        <v>46079</v>
      </c>
      <c r="C39" s="75">
        <v>1</v>
      </c>
      <c r="D39" s="75">
        <v>0</v>
      </c>
      <c r="E39" s="73" t="s">
        <v>294</v>
      </c>
      <c r="F39" s="73" t="s">
        <v>98</v>
      </c>
      <c r="G39" s="73" t="s">
        <v>7</v>
      </c>
      <c r="H39" s="73" t="s">
        <v>27</v>
      </c>
      <c r="I39" s="73" t="s">
        <v>9</v>
      </c>
      <c r="J39" s="73" t="s">
        <v>206</v>
      </c>
      <c r="K39" s="73" t="s">
        <v>24</v>
      </c>
    </row>
    <row r="40" spans="1:19" s="2" customFormat="1" ht="14.25" customHeight="1" x14ac:dyDescent="0.3">
      <c r="A40" s="40"/>
      <c r="B40" s="41"/>
      <c r="C40" s="42"/>
      <c r="D40" s="42"/>
      <c r="E40" s="40"/>
      <c r="F40" s="70"/>
      <c r="G40" s="40"/>
      <c r="H40" s="40"/>
      <c r="I40" s="40"/>
      <c r="J40" s="40"/>
      <c r="K40" s="40"/>
    </row>
    <row r="41" spans="1:19" ht="15" thickBot="1" x14ac:dyDescent="0.35">
      <c r="A41" s="40"/>
      <c r="B41" s="41"/>
      <c r="C41" s="42"/>
      <c r="D41" s="42"/>
      <c r="E41" s="40"/>
      <c r="F41" s="40"/>
      <c r="G41" s="40"/>
      <c r="H41" s="40"/>
      <c r="I41" s="40"/>
      <c r="J41" s="40"/>
      <c r="K41" s="40"/>
      <c r="P41" s="3"/>
      <c r="Q41" s="3"/>
      <c r="R41" s="4"/>
      <c r="S41" s="4"/>
    </row>
    <row r="42" spans="1:19" ht="15" thickBot="1" x14ac:dyDescent="0.35">
      <c r="B42" s="34" t="s">
        <v>31</v>
      </c>
      <c r="C42" s="12">
        <f>SUM(C4:C39)-SUM(D4:D39)</f>
        <v>63</v>
      </c>
      <c r="D42" s="29"/>
      <c r="F42" s="35" t="s">
        <v>57</v>
      </c>
      <c r="G42" s="36">
        <f>COUNTIF(I4:I39,"Pending")</f>
        <v>6</v>
      </c>
      <c r="I42" s="38" t="s">
        <v>58</v>
      </c>
      <c r="J42" s="39">
        <f>C42-G42</f>
        <v>57</v>
      </c>
    </row>
    <row r="43" spans="1:19" x14ac:dyDescent="0.3">
      <c r="G43" s="3"/>
      <c r="H43" s="4"/>
      <c r="I43" s="3"/>
    </row>
    <row r="44" spans="1:19" hidden="1" x14ac:dyDescent="0.3">
      <c r="D44" s="13"/>
    </row>
    <row r="45" spans="1:19" s="6" customFormat="1" ht="28.8" x14ac:dyDescent="0.3">
      <c r="A45" s="28" t="s">
        <v>0</v>
      </c>
      <c r="B45" s="28" t="s">
        <v>1</v>
      </c>
      <c r="C45" s="28" t="s">
        <v>2</v>
      </c>
      <c r="D45" s="28" t="s">
        <v>3</v>
      </c>
      <c r="E45" s="28" t="s">
        <v>4</v>
      </c>
      <c r="F45" s="28" t="s">
        <v>51</v>
      </c>
      <c r="G45" s="28" t="s">
        <v>52</v>
      </c>
      <c r="H45" s="28" t="s">
        <v>5</v>
      </c>
      <c r="I45" s="28" t="s">
        <v>53</v>
      </c>
      <c r="J45" s="28" t="s">
        <v>27</v>
      </c>
      <c r="K45" s="28" t="s">
        <v>6</v>
      </c>
    </row>
    <row r="46" spans="1:19" s="18" customFormat="1" ht="15" customHeight="1" x14ac:dyDescent="0.3">
      <c r="A46" s="73" t="s">
        <v>99</v>
      </c>
      <c r="B46" s="74">
        <v>46056</v>
      </c>
      <c r="C46" s="75">
        <v>1</v>
      </c>
      <c r="D46" s="75">
        <v>0</v>
      </c>
      <c r="E46" s="73" t="s">
        <v>166</v>
      </c>
      <c r="F46" s="73" t="s">
        <v>98</v>
      </c>
      <c r="G46" s="73" t="s">
        <v>32</v>
      </c>
      <c r="H46" s="73" t="s">
        <v>44</v>
      </c>
      <c r="I46" s="73" t="s">
        <v>20</v>
      </c>
      <c r="J46" s="73" t="s">
        <v>166</v>
      </c>
      <c r="K46" s="73" t="s">
        <v>13</v>
      </c>
    </row>
    <row r="47" spans="1:19" s="18" customFormat="1" ht="15" customHeight="1" x14ac:dyDescent="0.3">
      <c r="A47" s="73" t="s">
        <v>172</v>
      </c>
      <c r="B47" s="74">
        <v>46056</v>
      </c>
      <c r="C47" s="75">
        <v>1</v>
      </c>
      <c r="D47" s="75">
        <v>0</v>
      </c>
      <c r="E47" s="73" t="s">
        <v>173</v>
      </c>
      <c r="F47" s="73" t="s">
        <v>98</v>
      </c>
      <c r="G47" s="73" t="s">
        <v>32</v>
      </c>
      <c r="H47" s="73" t="s">
        <v>33</v>
      </c>
      <c r="I47" s="73" t="s">
        <v>20</v>
      </c>
      <c r="J47" s="73" t="s">
        <v>175</v>
      </c>
      <c r="K47" s="73" t="s">
        <v>176</v>
      </c>
    </row>
    <row r="48" spans="1:19" hidden="1" x14ac:dyDescent="0.3">
      <c r="A48" s="51"/>
      <c r="B48" s="52"/>
      <c r="C48" s="53"/>
      <c r="D48" s="53"/>
      <c r="E48" s="51"/>
      <c r="F48" s="51"/>
      <c r="G48" s="51"/>
      <c r="H48" s="51"/>
      <c r="I48" s="51"/>
      <c r="J48" s="51"/>
      <c r="K48" s="2"/>
    </row>
    <row r="49" spans="1:29" ht="15" thickBot="1" x14ac:dyDescent="0.35">
      <c r="A49" s="51"/>
      <c r="B49" s="52"/>
      <c r="C49" s="53"/>
      <c r="D49" s="53"/>
      <c r="E49" s="51"/>
      <c r="F49" s="51"/>
      <c r="G49" s="51"/>
      <c r="H49" s="51"/>
      <c r="I49" s="51"/>
      <c r="J49" s="51"/>
      <c r="K49" s="2"/>
    </row>
    <row r="50" spans="1:29" ht="15" thickBot="1" x14ac:dyDescent="0.35">
      <c r="B50" s="60" t="s">
        <v>34</v>
      </c>
      <c r="C50" s="61">
        <v>2</v>
      </c>
      <c r="E50" s="2"/>
      <c r="F50" s="2"/>
      <c r="H50" s="2"/>
      <c r="J50" s="2"/>
      <c r="K50" s="2"/>
    </row>
    <row r="51" spans="1:29" x14ac:dyDescent="0.3">
      <c r="E51" s="2"/>
      <c r="F51" s="2"/>
      <c r="H51" s="2"/>
      <c r="J51" s="2"/>
      <c r="K51" s="2"/>
    </row>
    <row r="52" spans="1:29" hidden="1" x14ac:dyDescent="0.3">
      <c r="E52" s="2"/>
      <c r="F52" s="2"/>
      <c r="H52" s="2"/>
      <c r="J52" s="2"/>
      <c r="K52" s="2"/>
    </row>
    <row r="53" spans="1:29" s="2" customFormat="1" ht="34.35" customHeight="1" x14ac:dyDescent="0.3">
      <c r="A53" s="62" t="s">
        <v>0</v>
      </c>
      <c r="B53" s="62" t="s">
        <v>1</v>
      </c>
      <c r="C53" s="62" t="s">
        <v>2</v>
      </c>
      <c r="D53" s="62" t="s">
        <v>3</v>
      </c>
      <c r="E53" s="62" t="s">
        <v>4</v>
      </c>
      <c r="F53" s="62" t="s">
        <v>51</v>
      </c>
      <c r="G53" s="62" t="s">
        <v>52</v>
      </c>
      <c r="H53" s="62" t="s">
        <v>5</v>
      </c>
      <c r="I53" s="62" t="s">
        <v>53</v>
      </c>
      <c r="J53" s="62" t="s">
        <v>27</v>
      </c>
      <c r="K53" s="62" t="s">
        <v>6</v>
      </c>
    </row>
    <row r="54" spans="1:29" s="2" customFormat="1" x14ac:dyDescent="0.3">
      <c r="A54" s="73" t="s">
        <v>275</v>
      </c>
      <c r="B54" s="74">
        <v>46065</v>
      </c>
      <c r="C54" s="75">
        <v>3</v>
      </c>
      <c r="D54" s="75">
        <v>0</v>
      </c>
      <c r="E54" s="73" t="s">
        <v>29</v>
      </c>
      <c r="F54" s="73" t="s">
        <v>200</v>
      </c>
      <c r="G54" s="73" t="s">
        <v>55</v>
      </c>
      <c r="H54" s="73" t="s">
        <v>33</v>
      </c>
      <c r="I54" s="73" t="s">
        <v>20</v>
      </c>
      <c r="J54" s="73" t="s">
        <v>65</v>
      </c>
      <c r="K54" s="73" t="s">
        <v>48</v>
      </c>
      <c r="L54" s="4"/>
      <c r="M54" s="4"/>
      <c r="N54" s="4"/>
      <c r="O54" s="4"/>
      <c r="P54" s="4"/>
      <c r="Q54" s="4"/>
      <c r="R54" s="4"/>
    </row>
    <row r="55" spans="1:29" s="2" customFormat="1" x14ac:dyDescent="0.3">
      <c r="A55" s="73" t="s">
        <v>296</v>
      </c>
      <c r="B55" s="74">
        <v>46076</v>
      </c>
      <c r="C55" s="75">
        <v>1</v>
      </c>
      <c r="D55" s="75">
        <v>0</v>
      </c>
      <c r="E55" s="73" t="s">
        <v>297</v>
      </c>
      <c r="F55" s="73" t="s">
        <v>98</v>
      </c>
      <c r="G55" s="73" t="s">
        <v>55</v>
      </c>
      <c r="H55" s="73" t="s">
        <v>33</v>
      </c>
      <c r="I55" s="73" t="s">
        <v>20</v>
      </c>
      <c r="J55" s="73" t="s">
        <v>298</v>
      </c>
      <c r="K55" s="73" t="s">
        <v>21</v>
      </c>
      <c r="L55" s="4"/>
      <c r="M55" s="4"/>
      <c r="N55" s="4"/>
      <c r="O55" s="4"/>
      <c r="P55" s="4"/>
      <c r="Q55" s="4"/>
      <c r="R55" s="4"/>
    </row>
    <row r="56" spans="1:29" s="2" customFormat="1" x14ac:dyDescent="0.3">
      <c r="A56" s="73" t="s">
        <v>288</v>
      </c>
      <c r="B56" s="74">
        <v>46072</v>
      </c>
      <c r="C56" s="75">
        <v>1</v>
      </c>
      <c r="D56" s="75">
        <v>0</v>
      </c>
      <c r="E56" s="73" t="s">
        <v>40</v>
      </c>
      <c r="F56" s="73" t="s">
        <v>98</v>
      </c>
      <c r="G56" s="73" t="s">
        <v>55</v>
      </c>
      <c r="H56" s="73" t="s">
        <v>33</v>
      </c>
      <c r="I56" s="73" t="s">
        <v>20</v>
      </c>
      <c r="J56" s="73" t="s">
        <v>165</v>
      </c>
      <c r="K56" s="73" t="s">
        <v>13</v>
      </c>
      <c r="L56" s="4"/>
      <c r="M56" s="4"/>
      <c r="N56" s="4"/>
      <c r="O56" s="4"/>
      <c r="P56" s="4"/>
      <c r="Q56" s="4"/>
      <c r="R56" s="4"/>
    </row>
    <row r="57" spans="1:29" s="2" customFormat="1" x14ac:dyDescent="0.3">
      <c r="A57" s="73" t="s">
        <v>289</v>
      </c>
      <c r="B57" s="74">
        <v>46073</v>
      </c>
      <c r="C57" s="75">
        <v>1</v>
      </c>
      <c r="D57" s="75">
        <v>0</v>
      </c>
      <c r="E57" s="73" t="s">
        <v>214</v>
      </c>
      <c r="F57" s="73" t="s">
        <v>200</v>
      </c>
      <c r="G57" s="73" t="s">
        <v>55</v>
      </c>
      <c r="H57" s="73" t="s">
        <v>33</v>
      </c>
      <c r="I57" s="73" t="s">
        <v>20</v>
      </c>
      <c r="J57" s="73" t="s">
        <v>215</v>
      </c>
      <c r="K57" s="73" t="s">
        <v>290</v>
      </c>
      <c r="L57" s="4"/>
      <c r="M57" s="4"/>
      <c r="N57" s="4"/>
      <c r="O57" s="4"/>
      <c r="P57" s="4"/>
      <c r="Q57" s="4"/>
      <c r="R57" s="3"/>
      <c r="S57" s="3"/>
      <c r="T57" s="4"/>
      <c r="U57" s="4"/>
      <c r="V57" s="4"/>
      <c r="W57" s="4"/>
      <c r="X57" s="4"/>
      <c r="Y57" s="4"/>
      <c r="Z57" s="4"/>
      <c r="AA57" s="4"/>
      <c r="AB57" s="4"/>
      <c r="AC57" s="4"/>
    </row>
    <row r="58" spans="1:29" s="2" customFormat="1" x14ac:dyDescent="0.3">
      <c r="A58" s="73" t="s">
        <v>299</v>
      </c>
      <c r="B58" s="74">
        <v>46077</v>
      </c>
      <c r="C58" s="75">
        <v>1</v>
      </c>
      <c r="D58" s="75">
        <v>0</v>
      </c>
      <c r="E58" s="73" t="s">
        <v>46</v>
      </c>
      <c r="F58" s="73" t="s">
        <v>200</v>
      </c>
      <c r="G58" s="73" t="s">
        <v>55</v>
      </c>
      <c r="H58" s="73" t="s">
        <v>33</v>
      </c>
      <c r="I58" s="73" t="s">
        <v>20</v>
      </c>
      <c r="J58" s="73" t="s">
        <v>49</v>
      </c>
      <c r="K58" s="73" t="s">
        <v>48</v>
      </c>
      <c r="L58" s="4"/>
      <c r="M58" s="4"/>
      <c r="N58" s="4"/>
      <c r="O58" s="4"/>
      <c r="P58" s="4"/>
      <c r="Q58" s="4"/>
      <c r="R58" s="3"/>
      <c r="S58" s="3"/>
      <c r="T58" s="4"/>
      <c r="U58" s="4"/>
      <c r="V58" s="4"/>
      <c r="W58" s="4"/>
      <c r="X58" s="4"/>
      <c r="Y58" s="4"/>
      <c r="Z58" s="4"/>
      <c r="AA58" s="4"/>
      <c r="AB58" s="4"/>
      <c r="AC58" s="4"/>
    </row>
    <row r="59" spans="1:29" s="2" customFormat="1" x14ac:dyDescent="0.3">
      <c r="A59" s="73" t="s">
        <v>300</v>
      </c>
      <c r="B59" s="74">
        <v>46077</v>
      </c>
      <c r="C59" s="75">
        <v>1</v>
      </c>
      <c r="D59" s="75">
        <v>0</v>
      </c>
      <c r="E59" s="73" t="s">
        <v>301</v>
      </c>
      <c r="F59" s="73" t="s">
        <v>200</v>
      </c>
      <c r="G59" s="73" t="s">
        <v>55</v>
      </c>
      <c r="H59" s="73" t="s">
        <v>33</v>
      </c>
      <c r="I59" s="73" t="s">
        <v>20</v>
      </c>
      <c r="J59" s="73" t="s">
        <v>302</v>
      </c>
      <c r="K59" s="73" t="s">
        <v>91</v>
      </c>
      <c r="L59" s="4"/>
      <c r="M59" s="4"/>
      <c r="N59" s="4"/>
      <c r="O59" s="4"/>
      <c r="P59" s="4"/>
      <c r="Q59" s="4"/>
      <c r="R59" s="3"/>
      <c r="S59" s="3"/>
      <c r="T59" s="4"/>
      <c r="U59" s="4"/>
      <c r="V59" s="4"/>
      <c r="W59" s="4"/>
      <c r="X59" s="4"/>
      <c r="Y59" s="4"/>
      <c r="Z59" s="4"/>
      <c r="AA59" s="4"/>
      <c r="AB59" s="4"/>
      <c r="AC59" s="4"/>
    </row>
    <row r="60" spans="1:29" s="2" customFormat="1" x14ac:dyDescent="0.3">
      <c r="A60" s="73" t="s">
        <v>303</v>
      </c>
      <c r="B60" s="74">
        <v>46078</v>
      </c>
      <c r="C60" s="75">
        <v>1</v>
      </c>
      <c r="D60" s="75">
        <v>0</v>
      </c>
      <c r="E60" s="73" t="s">
        <v>240</v>
      </c>
      <c r="F60" s="73" t="s">
        <v>98</v>
      </c>
      <c r="G60" s="73" t="s">
        <v>55</v>
      </c>
      <c r="H60" s="73" t="s">
        <v>33</v>
      </c>
      <c r="I60" s="73" t="s">
        <v>20</v>
      </c>
      <c r="J60" s="73" t="s">
        <v>186</v>
      </c>
      <c r="K60" s="73" t="s">
        <v>194</v>
      </c>
      <c r="L60" s="4"/>
      <c r="M60" s="4"/>
      <c r="N60" s="4"/>
      <c r="O60" s="4"/>
      <c r="P60" s="4"/>
      <c r="Q60" s="4"/>
      <c r="R60" s="3"/>
      <c r="S60" s="3"/>
      <c r="T60" s="4"/>
      <c r="U60" s="4"/>
      <c r="V60" s="4"/>
      <c r="W60" s="4"/>
      <c r="X60" s="4"/>
      <c r="Y60" s="4"/>
      <c r="Z60" s="4"/>
      <c r="AA60" s="4"/>
      <c r="AB60" s="4"/>
      <c r="AC60" s="4"/>
    </row>
    <row r="61" spans="1:29" s="2" customFormat="1" x14ac:dyDescent="0.3">
      <c r="A61" s="73" t="s">
        <v>304</v>
      </c>
      <c r="B61" s="74">
        <v>46078</v>
      </c>
      <c r="C61" s="75">
        <v>1</v>
      </c>
      <c r="D61" s="75">
        <v>0</v>
      </c>
      <c r="E61" s="73" t="s">
        <v>136</v>
      </c>
      <c r="F61" s="73" t="s">
        <v>200</v>
      </c>
      <c r="G61" s="73" t="s">
        <v>55</v>
      </c>
      <c r="H61" s="73" t="s">
        <v>33</v>
      </c>
      <c r="I61" s="73" t="s">
        <v>20</v>
      </c>
      <c r="J61" s="73" t="s">
        <v>137</v>
      </c>
      <c r="K61" s="73" t="s">
        <v>13</v>
      </c>
      <c r="L61" s="4"/>
      <c r="M61" s="4"/>
      <c r="N61" s="4"/>
      <c r="O61" s="4"/>
      <c r="P61" s="4"/>
      <c r="Q61" s="4"/>
      <c r="R61" s="3"/>
      <c r="S61" s="3"/>
      <c r="T61" s="4"/>
      <c r="U61" s="4"/>
      <c r="V61" s="4"/>
      <c r="W61" s="4"/>
      <c r="X61" s="4"/>
      <c r="Y61" s="4"/>
      <c r="Z61" s="4"/>
      <c r="AA61" s="4"/>
      <c r="AB61" s="4"/>
      <c r="AC61" s="4"/>
    </row>
    <row r="62" spans="1:29" s="2" customFormat="1" x14ac:dyDescent="0.3">
      <c r="A62" s="73" t="s">
        <v>307</v>
      </c>
      <c r="B62" s="74">
        <v>46080</v>
      </c>
      <c r="C62" s="75">
        <v>1</v>
      </c>
      <c r="D62" s="75">
        <v>0</v>
      </c>
      <c r="E62" s="73" t="s">
        <v>29</v>
      </c>
      <c r="F62" s="73" t="s">
        <v>200</v>
      </c>
      <c r="G62" s="73" t="s">
        <v>55</v>
      </c>
      <c r="H62" s="73" t="s">
        <v>33</v>
      </c>
      <c r="I62" s="73" t="s">
        <v>20</v>
      </c>
      <c r="J62" s="73" t="s">
        <v>33</v>
      </c>
      <c r="K62" s="73" t="s">
        <v>308</v>
      </c>
      <c r="L62" s="4"/>
      <c r="M62" s="4"/>
      <c r="N62" s="4"/>
      <c r="O62" s="4"/>
      <c r="P62" s="4"/>
      <c r="Q62" s="4"/>
      <c r="R62" s="3"/>
      <c r="S62" s="3"/>
      <c r="T62" s="4"/>
      <c r="U62" s="4"/>
      <c r="V62" s="4"/>
      <c r="W62" s="4"/>
      <c r="X62" s="4"/>
      <c r="Y62" s="4"/>
      <c r="Z62" s="4"/>
      <c r="AA62" s="4"/>
      <c r="AB62" s="4"/>
      <c r="AC62" s="4"/>
    </row>
    <row r="63" spans="1:29" s="2" customFormat="1" x14ac:dyDescent="0.3">
      <c r="A63" s="73" t="s">
        <v>309</v>
      </c>
      <c r="B63" s="74">
        <v>46080</v>
      </c>
      <c r="C63" s="75">
        <v>1</v>
      </c>
      <c r="D63" s="75">
        <v>0</v>
      </c>
      <c r="E63" s="73" t="s">
        <v>263</v>
      </c>
      <c r="F63" s="73" t="s">
        <v>98</v>
      </c>
      <c r="G63" s="73" t="s">
        <v>55</v>
      </c>
      <c r="H63" s="73" t="s">
        <v>8</v>
      </c>
      <c r="I63" s="73" t="s">
        <v>20</v>
      </c>
      <c r="J63" s="73" t="s">
        <v>310</v>
      </c>
      <c r="K63" s="73" t="s">
        <v>311</v>
      </c>
      <c r="L63" s="4"/>
      <c r="M63" s="4"/>
      <c r="N63" s="4"/>
      <c r="O63" s="4"/>
      <c r="P63" s="4"/>
      <c r="Q63" s="4"/>
      <c r="R63" s="3"/>
      <c r="S63" s="3"/>
      <c r="T63" s="4"/>
      <c r="U63" s="4"/>
      <c r="V63" s="4"/>
      <c r="W63" s="4"/>
      <c r="X63" s="4"/>
      <c r="Y63" s="4"/>
      <c r="Z63" s="4"/>
      <c r="AA63" s="4"/>
      <c r="AB63" s="4"/>
      <c r="AC63" s="4"/>
    </row>
    <row r="64" spans="1:29" s="2" customFormat="1" ht="15" thickBot="1" x14ac:dyDescent="0.35">
      <c r="A64" s="70"/>
      <c r="B64" s="71"/>
      <c r="C64" s="72"/>
      <c r="D64" s="72"/>
      <c r="E64" s="70"/>
      <c r="F64" s="70"/>
      <c r="G64" s="70"/>
      <c r="H64" s="70"/>
      <c r="I64" s="70"/>
      <c r="J64" s="70"/>
      <c r="K64" s="70"/>
      <c r="L64" s="4"/>
      <c r="M64" s="4"/>
      <c r="N64" s="4"/>
      <c r="O64" s="4"/>
      <c r="P64" s="4"/>
      <c r="Q64" s="4"/>
      <c r="R64" s="3"/>
      <c r="S64" s="3"/>
      <c r="T64" s="4"/>
      <c r="U64" s="4"/>
      <c r="V64" s="4"/>
      <c r="W64" s="4"/>
      <c r="X64" s="4"/>
      <c r="Y64" s="4"/>
      <c r="Z64" s="4"/>
      <c r="AA64" s="4"/>
      <c r="AB64" s="4"/>
      <c r="AC64" s="4"/>
    </row>
    <row r="65" spans="1:29" s="2" customFormat="1" hidden="1" x14ac:dyDescent="0.3">
      <c r="A65" s="70"/>
      <c r="B65" s="71"/>
      <c r="C65" s="72"/>
      <c r="D65" s="72"/>
      <c r="E65" s="70"/>
      <c r="F65" s="70"/>
      <c r="G65" s="70"/>
      <c r="H65" s="70"/>
      <c r="I65" s="70"/>
      <c r="J65" s="70"/>
      <c r="K65" s="70"/>
      <c r="L65" s="4"/>
      <c r="M65" s="4"/>
      <c r="N65" s="4"/>
      <c r="O65" s="4"/>
      <c r="P65" s="4"/>
      <c r="Q65" s="4"/>
      <c r="R65" s="3"/>
      <c r="S65" s="3"/>
      <c r="T65" s="4"/>
      <c r="U65" s="4"/>
      <c r="V65" s="4"/>
      <c r="W65" s="4"/>
      <c r="X65" s="4"/>
      <c r="Y65" s="4"/>
      <c r="Z65" s="4"/>
      <c r="AA65" s="4"/>
      <c r="AB65" s="4"/>
      <c r="AC65" s="4"/>
    </row>
    <row r="66" spans="1:29" s="2" customFormat="1" hidden="1" x14ac:dyDescent="0.3">
      <c r="A66" s="70"/>
      <c r="B66" s="71"/>
      <c r="C66" s="72"/>
      <c r="D66" s="72"/>
      <c r="E66" s="70"/>
      <c r="F66" s="70"/>
      <c r="G66" s="70"/>
      <c r="H66" s="70"/>
      <c r="I66" s="70"/>
      <c r="J66" s="70"/>
      <c r="K66" s="70"/>
      <c r="L66" s="4"/>
      <c r="M66" s="4"/>
      <c r="N66" s="4"/>
      <c r="O66" s="4"/>
      <c r="P66" s="4"/>
      <c r="Q66" s="4"/>
      <c r="R66" s="3"/>
      <c r="S66" s="3"/>
      <c r="T66" s="4"/>
      <c r="U66" s="4"/>
      <c r="V66" s="4"/>
      <c r="W66" s="4"/>
      <c r="X66" s="4"/>
      <c r="Y66" s="4"/>
      <c r="Z66" s="4"/>
      <c r="AA66" s="4"/>
      <c r="AB66" s="4"/>
      <c r="AC66" s="4"/>
    </row>
    <row r="67" spans="1:29" s="2" customFormat="1" ht="15" hidden="1" thickBot="1" x14ac:dyDescent="0.35">
      <c r="A67" s="70"/>
      <c r="B67" s="71"/>
      <c r="C67" s="72"/>
      <c r="D67" s="72"/>
      <c r="E67" s="70"/>
      <c r="F67" s="70"/>
      <c r="G67" s="70"/>
      <c r="H67" s="70"/>
      <c r="I67" s="70"/>
      <c r="J67" s="70"/>
      <c r="K67" s="70"/>
      <c r="L67" s="4"/>
      <c r="M67" s="4"/>
      <c r="N67" s="4"/>
      <c r="O67" s="4"/>
      <c r="P67" s="4"/>
      <c r="Q67" s="4"/>
      <c r="R67" s="3"/>
      <c r="S67" s="3"/>
      <c r="T67" s="4"/>
      <c r="U67" s="4"/>
      <c r="V67" s="4"/>
      <c r="W67" s="4"/>
      <c r="X67" s="4"/>
      <c r="Y67" s="4"/>
      <c r="Z67" s="4"/>
      <c r="AA67" s="4"/>
      <c r="AB67" s="4"/>
      <c r="AC67" s="4"/>
    </row>
    <row r="68" spans="1:29" ht="15" thickBot="1" x14ac:dyDescent="0.35">
      <c r="B68" s="38" t="s">
        <v>266</v>
      </c>
      <c r="C68" s="22">
        <v>12</v>
      </c>
    </row>
  </sheetData>
  <autoFilter ref="A3:J29" xr:uid="{6E392464-0CD5-4B6C-9B5A-A4EF4B03C567}"/>
  <conditionalFormatting sqref="F1:F40 F43:F1048576">
    <cfRule type="cellIs" dxfId="100" priority="3" operator="equal">
      <formula>"Non-Billable"</formula>
    </cfRule>
    <cfRule type="cellIs" dxfId="99" priority="4" operator="equal">
      <formula>"Billable"</formula>
    </cfRule>
  </conditionalFormatting>
  <conditionalFormatting sqref="F41">
    <cfRule type="cellIs" dxfId="98" priority="11" operator="equal">
      <formula>"Not Accepting Application"</formula>
    </cfRule>
    <cfRule type="cellIs" dxfId="97" priority="12" operator="equal">
      <formula>"Y"</formula>
    </cfRule>
  </conditionalFormatting>
  <conditionalFormatting sqref="H1:H2 H4:H40 F41 H42:H44 H46:H52 H57:H1048576">
    <cfRule type="cellIs" dxfId="96" priority="9" operator="equal">
      <formula>"Not accpeting applications"</formula>
    </cfRule>
  </conditionalFormatting>
  <conditionalFormatting sqref="H1:H2 H4:H40 H42:H44 H46:H52 V54:V56 AG57:AG68 H57:H1048576">
    <cfRule type="cellIs" dxfId="95" priority="8" operator="equal">
      <formula>"Not Accepting Applications"</formula>
    </cfRule>
  </conditionalFormatting>
  <conditionalFormatting sqref="H4:H40">
    <cfRule type="cellIs" dxfId="94" priority="10" operator="equal">
      <formula>"Accepting Applications"</formula>
    </cfRule>
  </conditionalFormatting>
  <conditionalFormatting sqref="H46:H47">
    <cfRule type="cellIs" dxfId="93" priority="13" operator="equal">
      <formula>"Not Accepting Application"</formula>
    </cfRule>
    <cfRule type="cellIs" dxfId="92" priority="14" operator="equal">
      <formula>"Accepting Applications"</formula>
    </cfRule>
    <cfRule type="cellIs" dxfId="91" priority="15" operator="equal">
      <formula>"Y"</formula>
    </cfRule>
  </conditionalFormatting>
  <conditionalFormatting sqref="I1:I40 F41:G41 I43:I1048576">
    <cfRule type="cellIs" dxfId="90" priority="6" operator="equal">
      <formula>"Accepting Applications"</formula>
    </cfRule>
    <cfRule type="cellIs" dxfId="89" priority="7" operator="equal">
      <formula>"Not Accepting Applications"</formula>
    </cfRule>
  </conditionalFormatting>
  <conditionalFormatting sqref="I1:I40 G41 I43:I1048576">
    <cfRule type="cellIs" dxfId="88" priority="5" operator="equal">
      <formula>"Pending"</formula>
    </cfRule>
  </conditionalFormatting>
  <pageMargins left="0.7" right="0.7" top="0.75" bottom="0.75" header="0.3" footer="0.3"/>
  <pageSetup orientation="landscape" horizontalDpi="4294967295" verticalDpi="4294967295"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C13CE-E454-43C6-9E65-1E514409972E}">
  <sheetPr>
    <tabColor theme="2" tint="-0.499984740745262"/>
  </sheetPr>
  <dimension ref="A1:AC67"/>
  <sheetViews>
    <sheetView showGridLines="0" zoomScale="90" zoomScaleNormal="90" workbookViewId="0">
      <selection activeCell="C58" sqref="C58"/>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0.33333333333333331</v>
      </c>
      <c r="B1" s="37">
        <v>46079</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73" t="s">
        <v>74</v>
      </c>
      <c r="B4" s="74">
        <v>46076</v>
      </c>
      <c r="C4" s="75">
        <v>1</v>
      </c>
      <c r="D4" s="75">
        <v>0</v>
      </c>
      <c r="E4" s="73" t="s">
        <v>75</v>
      </c>
      <c r="F4" s="73" t="s">
        <v>98</v>
      </c>
      <c r="G4" s="73" t="s">
        <v>7</v>
      </c>
      <c r="H4" s="73" t="s">
        <v>76</v>
      </c>
      <c r="I4" s="73" t="s">
        <v>9</v>
      </c>
      <c r="J4" s="73" t="s">
        <v>77</v>
      </c>
      <c r="K4" s="73" t="s">
        <v>13</v>
      </c>
      <c r="AB4" s="2" t="s">
        <v>10</v>
      </c>
      <c r="AC4" s="2" t="s">
        <v>11</v>
      </c>
    </row>
    <row r="5" spans="1:29" s="2" customFormat="1" x14ac:dyDescent="0.3">
      <c r="A5" s="73" t="s">
        <v>128</v>
      </c>
      <c r="B5" s="74">
        <v>46035</v>
      </c>
      <c r="C5" s="75">
        <v>1</v>
      </c>
      <c r="D5" s="75">
        <v>0</v>
      </c>
      <c r="E5" s="73" t="s">
        <v>129</v>
      </c>
      <c r="F5" s="64" t="s">
        <v>200</v>
      </c>
      <c r="G5" s="73" t="s">
        <v>7</v>
      </c>
      <c r="H5" s="73" t="s">
        <v>64</v>
      </c>
      <c r="I5" s="73" t="s">
        <v>9</v>
      </c>
      <c r="J5" s="73" t="s">
        <v>65</v>
      </c>
      <c r="K5" s="73" t="s">
        <v>48</v>
      </c>
      <c r="AB5" s="2" t="s">
        <v>14</v>
      </c>
      <c r="AC5" s="2">
        <v>17</v>
      </c>
    </row>
    <row r="6" spans="1:29" s="2" customFormat="1" x14ac:dyDescent="0.3">
      <c r="A6" s="73" t="s">
        <v>152</v>
      </c>
      <c r="B6" s="74">
        <v>46006</v>
      </c>
      <c r="C6" s="75">
        <v>1</v>
      </c>
      <c r="D6" s="75">
        <v>0</v>
      </c>
      <c r="E6" s="73" t="s">
        <v>153</v>
      </c>
      <c r="F6" s="64" t="s">
        <v>200</v>
      </c>
      <c r="G6" s="73" t="s">
        <v>7</v>
      </c>
      <c r="H6" s="73" t="s">
        <v>33</v>
      </c>
      <c r="I6" s="73" t="s">
        <v>20</v>
      </c>
      <c r="J6" s="73" t="s">
        <v>77</v>
      </c>
      <c r="K6" s="73" t="s">
        <v>13</v>
      </c>
      <c r="N6" s="10"/>
      <c r="AB6" s="2" t="s">
        <v>15</v>
      </c>
      <c r="AC6" s="2">
        <v>3</v>
      </c>
    </row>
    <row r="7" spans="1:29" s="2" customFormat="1" x14ac:dyDescent="0.3">
      <c r="A7" s="73" t="s">
        <v>157</v>
      </c>
      <c r="B7" s="74">
        <v>46063</v>
      </c>
      <c r="C7" s="75">
        <v>1</v>
      </c>
      <c r="D7" s="75">
        <v>0</v>
      </c>
      <c r="E7" s="73" t="s">
        <v>158</v>
      </c>
      <c r="F7" s="73" t="s">
        <v>98</v>
      </c>
      <c r="G7" s="73" t="s">
        <v>7</v>
      </c>
      <c r="H7" s="73" t="s">
        <v>17</v>
      </c>
      <c r="I7" s="73" t="s">
        <v>9</v>
      </c>
      <c r="J7" s="73" t="s">
        <v>159</v>
      </c>
      <c r="K7" s="73" t="s">
        <v>28</v>
      </c>
      <c r="N7" s="10"/>
      <c r="V7" s="11"/>
      <c r="AB7" s="2" t="s">
        <v>16</v>
      </c>
      <c r="AC7" s="2">
        <v>4</v>
      </c>
    </row>
    <row r="8" spans="1:29" s="2" customFormat="1" x14ac:dyDescent="0.3">
      <c r="A8" s="73" t="s">
        <v>163</v>
      </c>
      <c r="B8" s="74">
        <v>46069</v>
      </c>
      <c r="C8" s="75">
        <v>1</v>
      </c>
      <c r="D8" s="75">
        <v>0</v>
      </c>
      <c r="E8" s="73" t="s">
        <v>164</v>
      </c>
      <c r="F8" s="73" t="s">
        <v>98</v>
      </c>
      <c r="G8" s="73" t="s">
        <v>7</v>
      </c>
      <c r="H8" s="73" t="s">
        <v>18</v>
      </c>
      <c r="I8" s="73" t="s">
        <v>56</v>
      </c>
      <c r="J8" s="73" t="s">
        <v>165</v>
      </c>
      <c r="K8" s="73" t="s">
        <v>13</v>
      </c>
      <c r="N8" s="10"/>
    </row>
    <row r="9" spans="1:29" s="2" customFormat="1" x14ac:dyDescent="0.3">
      <c r="A9" s="73" t="s">
        <v>202</v>
      </c>
      <c r="B9" s="74">
        <v>46077</v>
      </c>
      <c r="C9" s="75">
        <v>1</v>
      </c>
      <c r="D9" s="75">
        <v>0</v>
      </c>
      <c r="E9" s="73" t="s">
        <v>54</v>
      </c>
      <c r="F9" s="73" t="s">
        <v>98</v>
      </c>
      <c r="G9" s="73" t="s">
        <v>7</v>
      </c>
      <c r="H9" s="73" t="s">
        <v>18</v>
      </c>
      <c r="I9" s="73" t="s">
        <v>56</v>
      </c>
      <c r="J9" s="73" t="s">
        <v>203</v>
      </c>
      <c r="K9" s="73" t="s">
        <v>19</v>
      </c>
    </row>
    <row r="10" spans="1:29" s="2" customFormat="1" x14ac:dyDescent="0.3">
      <c r="A10" s="73" t="s">
        <v>204</v>
      </c>
      <c r="B10" s="74">
        <v>46063</v>
      </c>
      <c r="C10" s="75">
        <v>1</v>
      </c>
      <c r="D10" s="75">
        <v>0</v>
      </c>
      <c r="E10" s="73" t="s">
        <v>205</v>
      </c>
      <c r="F10" s="73" t="s">
        <v>98</v>
      </c>
      <c r="G10" s="73" t="s">
        <v>7</v>
      </c>
      <c r="H10" s="73" t="s">
        <v>17</v>
      </c>
      <c r="I10" s="73" t="s">
        <v>9</v>
      </c>
      <c r="J10" s="73" t="s">
        <v>206</v>
      </c>
      <c r="K10" s="73" t="s">
        <v>13</v>
      </c>
    </row>
    <row r="11" spans="1:29" s="2" customFormat="1" x14ac:dyDescent="0.3">
      <c r="A11" s="73" t="s">
        <v>209</v>
      </c>
      <c r="B11" s="74">
        <v>46063</v>
      </c>
      <c r="C11" s="75">
        <v>1</v>
      </c>
      <c r="D11" s="75">
        <v>0</v>
      </c>
      <c r="E11" s="73" t="s">
        <v>210</v>
      </c>
      <c r="F11" s="73" t="s">
        <v>98</v>
      </c>
      <c r="G11" s="73" t="s">
        <v>7</v>
      </c>
      <c r="H11" s="73" t="s">
        <v>17</v>
      </c>
      <c r="I11" s="73" t="s">
        <v>9</v>
      </c>
      <c r="J11" s="73" t="s">
        <v>206</v>
      </c>
      <c r="K11" s="73" t="s">
        <v>13</v>
      </c>
    </row>
    <row r="12" spans="1:29" s="2" customFormat="1" x14ac:dyDescent="0.3">
      <c r="A12" s="73" t="s">
        <v>217</v>
      </c>
      <c r="B12" s="74">
        <v>46051</v>
      </c>
      <c r="C12" s="75">
        <v>1</v>
      </c>
      <c r="D12" s="75">
        <v>0</v>
      </c>
      <c r="E12" s="73" t="s">
        <v>218</v>
      </c>
      <c r="F12" s="64" t="s">
        <v>200</v>
      </c>
      <c r="G12" s="73" t="s">
        <v>7</v>
      </c>
      <c r="H12" s="73" t="s">
        <v>148</v>
      </c>
      <c r="I12" s="73" t="s">
        <v>9</v>
      </c>
      <c r="J12" s="73" t="s">
        <v>121</v>
      </c>
      <c r="K12" s="73" t="s">
        <v>13</v>
      </c>
    </row>
    <row r="13" spans="1:29" s="2" customFormat="1" x14ac:dyDescent="0.3">
      <c r="A13" s="73" t="s">
        <v>221</v>
      </c>
      <c r="B13" s="74">
        <v>46050</v>
      </c>
      <c r="C13" s="75">
        <v>2</v>
      </c>
      <c r="D13" s="75">
        <v>0</v>
      </c>
      <c r="E13" s="73" t="s">
        <v>201</v>
      </c>
      <c r="F13" s="64" t="s">
        <v>200</v>
      </c>
      <c r="G13" s="73" t="s">
        <v>7</v>
      </c>
      <c r="H13" s="73" t="s">
        <v>47</v>
      </c>
      <c r="I13" s="73" t="s">
        <v>9</v>
      </c>
      <c r="J13" s="73" t="s">
        <v>105</v>
      </c>
      <c r="K13" s="73" t="s">
        <v>43</v>
      </c>
    </row>
    <row r="14" spans="1:29" s="2" customFormat="1" x14ac:dyDescent="0.3">
      <c r="A14" s="73" t="s">
        <v>222</v>
      </c>
      <c r="B14" s="74">
        <v>46065</v>
      </c>
      <c r="C14" s="75">
        <v>1</v>
      </c>
      <c r="D14" s="75">
        <v>0</v>
      </c>
      <c r="E14" s="73" t="s">
        <v>223</v>
      </c>
      <c r="F14" s="64" t="s">
        <v>200</v>
      </c>
      <c r="G14" s="73" t="s">
        <v>7</v>
      </c>
      <c r="H14" s="73" t="s">
        <v>18</v>
      </c>
      <c r="I14" s="73" t="s">
        <v>56</v>
      </c>
      <c r="J14" s="73" t="s">
        <v>180</v>
      </c>
      <c r="K14" s="73" t="s">
        <v>13</v>
      </c>
    </row>
    <row r="15" spans="1:29" s="2" customFormat="1" x14ac:dyDescent="0.3">
      <c r="A15" s="73" t="s">
        <v>224</v>
      </c>
      <c r="B15" s="74">
        <v>46069</v>
      </c>
      <c r="C15" s="75">
        <v>1</v>
      </c>
      <c r="D15" s="75">
        <v>0</v>
      </c>
      <c r="E15" s="73" t="s">
        <v>225</v>
      </c>
      <c r="F15" s="64" t="s">
        <v>200</v>
      </c>
      <c r="G15" s="73" t="s">
        <v>7</v>
      </c>
      <c r="H15" s="73" t="s">
        <v>18</v>
      </c>
      <c r="I15" s="73" t="s">
        <v>56</v>
      </c>
      <c r="J15" s="73" t="s">
        <v>180</v>
      </c>
      <c r="K15" s="73" t="s">
        <v>13</v>
      </c>
    </row>
    <row r="16" spans="1:29" s="2" customFormat="1" x14ac:dyDescent="0.3">
      <c r="A16" s="73" t="s">
        <v>226</v>
      </c>
      <c r="B16" s="74">
        <v>46069</v>
      </c>
      <c r="C16" s="75">
        <v>2</v>
      </c>
      <c r="D16" s="75">
        <v>1</v>
      </c>
      <c r="E16" s="73" t="s">
        <v>227</v>
      </c>
      <c r="F16" s="64" t="s">
        <v>200</v>
      </c>
      <c r="G16" s="73" t="s">
        <v>7</v>
      </c>
      <c r="H16" s="73" t="s">
        <v>18</v>
      </c>
      <c r="I16" s="73" t="s">
        <v>56</v>
      </c>
      <c r="J16" s="73" t="s">
        <v>180</v>
      </c>
      <c r="K16" s="73" t="s">
        <v>13</v>
      </c>
    </row>
    <row r="17" spans="1:11" s="2" customFormat="1" x14ac:dyDescent="0.3">
      <c r="A17" s="73" t="s">
        <v>228</v>
      </c>
      <c r="B17" s="74">
        <v>46045</v>
      </c>
      <c r="C17" s="75">
        <v>1</v>
      </c>
      <c r="D17" s="75">
        <v>0</v>
      </c>
      <c r="E17" s="73" t="s">
        <v>30</v>
      </c>
      <c r="F17" s="64" t="s">
        <v>200</v>
      </c>
      <c r="G17" s="73" t="s">
        <v>7</v>
      </c>
      <c r="H17" s="73" t="s">
        <v>8</v>
      </c>
      <c r="I17" s="73" t="s">
        <v>9</v>
      </c>
      <c r="J17" s="73" t="s">
        <v>12</v>
      </c>
      <c r="K17" s="73" t="s">
        <v>24</v>
      </c>
    </row>
    <row r="18" spans="1:11" s="2" customFormat="1" x14ac:dyDescent="0.3">
      <c r="A18" s="73" t="s">
        <v>229</v>
      </c>
      <c r="B18" s="74">
        <v>46065</v>
      </c>
      <c r="C18" s="75">
        <v>3</v>
      </c>
      <c r="D18" s="75">
        <v>2</v>
      </c>
      <c r="E18" s="73" t="s">
        <v>45</v>
      </c>
      <c r="F18" s="64" t="s">
        <v>200</v>
      </c>
      <c r="G18" s="73" t="s">
        <v>7</v>
      </c>
      <c r="H18" s="73" t="s">
        <v>272</v>
      </c>
      <c r="I18" s="73" t="s">
        <v>20</v>
      </c>
      <c r="J18" s="73" t="s">
        <v>121</v>
      </c>
      <c r="K18" s="73" t="s">
        <v>13</v>
      </c>
    </row>
    <row r="19" spans="1:11" s="2" customFormat="1" ht="15" customHeight="1" x14ac:dyDescent="0.3">
      <c r="A19" s="73" t="s">
        <v>230</v>
      </c>
      <c r="B19" s="74">
        <v>46065</v>
      </c>
      <c r="C19" s="75">
        <v>1</v>
      </c>
      <c r="D19" s="75">
        <v>0</v>
      </c>
      <c r="E19" s="73" t="s">
        <v>263</v>
      </c>
      <c r="F19" s="64" t="s">
        <v>200</v>
      </c>
      <c r="G19" s="73" t="s">
        <v>7</v>
      </c>
      <c r="H19" s="73" t="s">
        <v>274</v>
      </c>
      <c r="I19" s="73" t="s">
        <v>9</v>
      </c>
      <c r="J19" s="73" t="s">
        <v>12</v>
      </c>
      <c r="K19" s="73" t="s">
        <v>24</v>
      </c>
    </row>
    <row r="20" spans="1:11" s="2" customFormat="1" ht="13.95" customHeight="1" x14ac:dyDescent="0.3">
      <c r="A20" s="73" t="s">
        <v>233</v>
      </c>
      <c r="B20" s="74">
        <v>46050</v>
      </c>
      <c r="C20" s="75">
        <v>3</v>
      </c>
      <c r="D20" s="75">
        <v>0</v>
      </c>
      <c r="E20" s="73" t="s">
        <v>63</v>
      </c>
      <c r="F20" s="64" t="s">
        <v>200</v>
      </c>
      <c r="G20" s="73" t="s">
        <v>7</v>
      </c>
      <c r="H20" s="73" t="s">
        <v>33</v>
      </c>
      <c r="I20" s="73" t="s">
        <v>20</v>
      </c>
      <c r="J20" s="73" t="s">
        <v>65</v>
      </c>
      <c r="K20" s="73" t="s">
        <v>48</v>
      </c>
    </row>
    <row r="21" spans="1:11" s="2" customFormat="1" x14ac:dyDescent="0.3">
      <c r="A21" s="73" t="s">
        <v>234</v>
      </c>
      <c r="B21" s="74">
        <v>46056</v>
      </c>
      <c r="C21" s="75">
        <v>30</v>
      </c>
      <c r="D21" s="75">
        <v>3</v>
      </c>
      <c r="E21" s="73" t="s">
        <v>45</v>
      </c>
      <c r="F21" s="64" t="s">
        <v>200</v>
      </c>
      <c r="G21" s="73" t="s">
        <v>7</v>
      </c>
      <c r="H21" s="73" t="s">
        <v>259</v>
      </c>
      <c r="I21" s="73" t="s">
        <v>20</v>
      </c>
      <c r="J21" s="73" t="s">
        <v>49</v>
      </c>
      <c r="K21" s="73" t="s">
        <v>91</v>
      </c>
    </row>
    <row r="22" spans="1:11" s="2" customFormat="1" x14ac:dyDescent="0.3">
      <c r="A22" s="73" t="s">
        <v>251</v>
      </c>
      <c r="B22" s="74">
        <v>46077</v>
      </c>
      <c r="C22" s="75">
        <v>1</v>
      </c>
      <c r="D22" s="75">
        <v>0</v>
      </c>
      <c r="E22" s="73" t="s">
        <v>193</v>
      </c>
      <c r="F22" s="73" t="s">
        <v>98</v>
      </c>
      <c r="G22" s="73" t="s">
        <v>7</v>
      </c>
      <c r="H22" s="73" t="s">
        <v>18</v>
      </c>
      <c r="I22" s="73" t="s">
        <v>56</v>
      </c>
      <c r="J22" s="73" t="s">
        <v>252</v>
      </c>
      <c r="K22" s="73" t="s">
        <v>48</v>
      </c>
    </row>
    <row r="23" spans="1:11" s="2" customFormat="1" x14ac:dyDescent="0.3">
      <c r="A23" s="73" t="s">
        <v>243</v>
      </c>
      <c r="B23" s="74">
        <v>46076</v>
      </c>
      <c r="C23" s="75">
        <v>1</v>
      </c>
      <c r="D23" s="75">
        <v>0</v>
      </c>
      <c r="E23" s="73" t="s">
        <v>244</v>
      </c>
      <c r="F23" s="73" t="s">
        <v>98</v>
      </c>
      <c r="G23" s="73" t="s">
        <v>7</v>
      </c>
      <c r="H23" s="73" t="s">
        <v>102</v>
      </c>
      <c r="I23" s="73" t="s">
        <v>20</v>
      </c>
      <c r="J23" s="73" t="s">
        <v>103</v>
      </c>
      <c r="K23" s="73" t="s">
        <v>21</v>
      </c>
    </row>
    <row r="24" spans="1:11" s="2" customFormat="1" ht="15" customHeight="1" x14ac:dyDescent="0.3">
      <c r="A24" s="73" t="s">
        <v>246</v>
      </c>
      <c r="B24" s="74">
        <v>46055</v>
      </c>
      <c r="C24" s="75">
        <v>1</v>
      </c>
      <c r="D24" s="75">
        <v>0</v>
      </c>
      <c r="E24" s="73" t="s">
        <v>232</v>
      </c>
      <c r="F24" s="64" t="s">
        <v>200</v>
      </c>
      <c r="G24" s="73" t="s">
        <v>7</v>
      </c>
      <c r="H24" s="73" t="s">
        <v>33</v>
      </c>
      <c r="I24" s="73" t="s">
        <v>20</v>
      </c>
      <c r="J24" s="73" t="s">
        <v>65</v>
      </c>
      <c r="K24" s="73" t="s">
        <v>48</v>
      </c>
    </row>
    <row r="25" spans="1:11" s="2" customFormat="1" x14ac:dyDescent="0.3">
      <c r="A25" s="73" t="s">
        <v>247</v>
      </c>
      <c r="B25" s="74">
        <v>46056</v>
      </c>
      <c r="C25" s="75">
        <v>1</v>
      </c>
      <c r="D25" s="75">
        <v>0</v>
      </c>
      <c r="E25" s="73" t="s">
        <v>120</v>
      </c>
      <c r="F25" s="64" t="s">
        <v>200</v>
      </c>
      <c r="G25" s="73" t="s">
        <v>7</v>
      </c>
      <c r="H25" s="73" t="s">
        <v>260</v>
      </c>
      <c r="I25" s="73" t="s">
        <v>9</v>
      </c>
      <c r="J25" s="73" t="s">
        <v>248</v>
      </c>
      <c r="K25" s="73" t="s">
        <v>43</v>
      </c>
    </row>
    <row r="26" spans="1:11" s="2" customFormat="1" x14ac:dyDescent="0.3">
      <c r="A26" s="73" t="s">
        <v>249</v>
      </c>
      <c r="B26" s="74">
        <v>46076</v>
      </c>
      <c r="C26" s="75">
        <v>2</v>
      </c>
      <c r="D26" s="75">
        <v>0</v>
      </c>
      <c r="E26" s="73" t="s">
        <v>45</v>
      </c>
      <c r="F26" s="64" t="s">
        <v>200</v>
      </c>
      <c r="G26" s="73" t="s">
        <v>7</v>
      </c>
      <c r="H26" s="73" t="s">
        <v>27</v>
      </c>
      <c r="I26" s="73" t="s">
        <v>20</v>
      </c>
      <c r="J26" s="73" t="s">
        <v>121</v>
      </c>
      <c r="K26" s="73" t="s">
        <v>13</v>
      </c>
    </row>
    <row r="27" spans="1:11" s="2" customFormat="1" x14ac:dyDescent="0.3">
      <c r="A27" s="73" t="s">
        <v>253</v>
      </c>
      <c r="B27" s="74">
        <v>46069</v>
      </c>
      <c r="C27" s="75">
        <v>1</v>
      </c>
      <c r="D27" s="75">
        <v>0</v>
      </c>
      <c r="E27" s="73" t="s">
        <v>244</v>
      </c>
      <c r="F27" s="73" t="s">
        <v>98</v>
      </c>
      <c r="G27" s="73" t="s">
        <v>7</v>
      </c>
      <c r="H27" s="73" t="s">
        <v>33</v>
      </c>
      <c r="I27" s="73" t="s">
        <v>20</v>
      </c>
      <c r="J27" s="73" t="s">
        <v>103</v>
      </c>
      <c r="K27" s="73" t="s">
        <v>21</v>
      </c>
    </row>
    <row r="28" spans="1:11" s="2" customFormat="1" x14ac:dyDescent="0.3">
      <c r="A28" s="73" t="s">
        <v>254</v>
      </c>
      <c r="B28" s="74">
        <v>46069</v>
      </c>
      <c r="C28" s="75">
        <v>1</v>
      </c>
      <c r="D28" s="75">
        <v>0</v>
      </c>
      <c r="E28" s="73" t="s">
        <v>101</v>
      </c>
      <c r="F28" s="73" t="s">
        <v>98</v>
      </c>
      <c r="G28" s="73" t="s">
        <v>7</v>
      </c>
      <c r="H28" s="73" t="s">
        <v>33</v>
      </c>
      <c r="I28" s="73" t="s">
        <v>20</v>
      </c>
      <c r="J28" s="73" t="s">
        <v>103</v>
      </c>
      <c r="K28" s="73" t="s">
        <v>21</v>
      </c>
    </row>
    <row r="29" spans="1:11" s="2" customFormat="1" x14ac:dyDescent="0.3">
      <c r="A29" s="73" t="s">
        <v>261</v>
      </c>
      <c r="B29" s="74">
        <v>46066</v>
      </c>
      <c r="C29" s="75">
        <v>1</v>
      </c>
      <c r="D29" s="75">
        <v>0</v>
      </c>
      <c r="E29" s="73" t="s">
        <v>262</v>
      </c>
      <c r="F29" s="73" t="s">
        <v>98</v>
      </c>
      <c r="G29" s="73" t="s">
        <v>7</v>
      </c>
      <c r="H29" s="73" t="s">
        <v>17</v>
      </c>
      <c r="I29" s="73" t="s">
        <v>9</v>
      </c>
      <c r="J29" s="73" t="s">
        <v>191</v>
      </c>
      <c r="K29" s="73" t="s">
        <v>13</v>
      </c>
    </row>
    <row r="30" spans="1:11" s="2" customFormat="1" ht="13.95" customHeight="1" x14ac:dyDescent="0.3">
      <c r="A30" s="73" t="s">
        <v>264</v>
      </c>
      <c r="B30" s="74">
        <v>46069</v>
      </c>
      <c r="C30" s="75">
        <v>1</v>
      </c>
      <c r="D30" s="75">
        <v>0</v>
      </c>
      <c r="E30" s="73" t="s">
        <v>29</v>
      </c>
      <c r="F30" s="73" t="s">
        <v>98</v>
      </c>
      <c r="G30" s="73" t="s">
        <v>7</v>
      </c>
      <c r="H30" s="73" t="s">
        <v>33</v>
      </c>
      <c r="I30" s="73" t="s">
        <v>20</v>
      </c>
      <c r="J30" s="73" t="s">
        <v>65</v>
      </c>
      <c r="K30" s="73" t="s">
        <v>48</v>
      </c>
    </row>
    <row r="31" spans="1:11" s="2" customFormat="1" ht="14.25" customHeight="1" x14ac:dyDescent="0.3">
      <c r="A31" s="73" t="s">
        <v>265</v>
      </c>
      <c r="B31" s="74">
        <v>46069</v>
      </c>
      <c r="C31" s="75">
        <v>1</v>
      </c>
      <c r="D31" s="75">
        <v>0</v>
      </c>
      <c r="E31" s="73" t="s">
        <v>29</v>
      </c>
      <c r="F31" s="73" t="s">
        <v>98</v>
      </c>
      <c r="G31" s="73" t="s">
        <v>7</v>
      </c>
      <c r="H31" s="73" t="s">
        <v>33</v>
      </c>
      <c r="I31" s="73" t="s">
        <v>20</v>
      </c>
      <c r="J31" s="73" t="s">
        <v>65</v>
      </c>
      <c r="K31" s="73" t="s">
        <v>48</v>
      </c>
    </row>
    <row r="32" spans="1:11" s="2" customFormat="1" ht="14.25" customHeight="1" x14ac:dyDescent="0.3">
      <c r="A32" s="73" t="s">
        <v>267</v>
      </c>
      <c r="B32" s="74">
        <v>46077</v>
      </c>
      <c r="C32" s="75">
        <v>1</v>
      </c>
      <c r="D32" s="75">
        <v>0</v>
      </c>
      <c r="E32" s="73" t="s">
        <v>268</v>
      </c>
      <c r="F32" s="73" t="s">
        <v>98</v>
      </c>
      <c r="G32" s="73" t="s">
        <v>7</v>
      </c>
      <c r="H32" s="73" t="s">
        <v>27</v>
      </c>
      <c r="I32" s="73" t="s">
        <v>9</v>
      </c>
      <c r="J32" s="73" t="s">
        <v>269</v>
      </c>
      <c r="K32" s="73" t="s">
        <v>22</v>
      </c>
    </row>
    <row r="33" spans="1:19" s="2" customFormat="1" ht="14.25" customHeight="1" x14ac:dyDescent="0.3">
      <c r="A33" s="73" t="s">
        <v>270</v>
      </c>
      <c r="B33" s="74">
        <v>46069</v>
      </c>
      <c r="C33" s="75">
        <v>1</v>
      </c>
      <c r="D33" s="75">
        <v>0</v>
      </c>
      <c r="E33" s="73" t="s">
        <v>25</v>
      </c>
      <c r="F33" s="64" t="s">
        <v>200</v>
      </c>
      <c r="G33" s="73" t="s">
        <v>7</v>
      </c>
      <c r="H33" s="73" t="s">
        <v>64</v>
      </c>
      <c r="I33" s="73" t="s">
        <v>9</v>
      </c>
      <c r="J33" s="73" t="s">
        <v>271</v>
      </c>
      <c r="K33" s="73" t="s">
        <v>43</v>
      </c>
    </row>
    <row r="34" spans="1:19" s="2" customFormat="1" ht="14.25" customHeight="1" x14ac:dyDescent="0.3">
      <c r="A34" s="73" t="s">
        <v>277</v>
      </c>
      <c r="B34" s="74">
        <v>46076</v>
      </c>
      <c r="C34" s="75">
        <v>1</v>
      </c>
      <c r="D34" s="75">
        <v>0</v>
      </c>
      <c r="E34" s="73" t="s">
        <v>283</v>
      </c>
      <c r="F34" s="73" t="s">
        <v>98</v>
      </c>
      <c r="G34" s="73" t="s">
        <v>7</v>
      </c>
      <c r="H34" s="73" t="s">
        <v>47</v>
      </c>
      <c r="I34" s="73" t="s">
        <v>9</v>
      </c>
      <c r="J34" s="73" t="s">
        <v>134</v>
      </c>
      <c r="K34" s="73" t="s">
        <v>13</v>
      </c>
    </row>
    <row r="35" spans="1:19" s="2" customFormat="1" ht="14.25" customHeight="1" x14ac:dyDescent="0.3">
      <c r="A35" s="73" t="s">
        <v>279</v>
      </c>
      <c r="B35" s="74">
        <v>46078</v>
      </c>
      <c r="C35" s="75">
        <v>1</v>
      </c>
      <c r="D35" s="75">
        <v>0</v>
      </c>
      <c r="E35" s="73" t="s">
        <v>153</v>
      </c>
      <c r="F35" s="73" t="s">
        <v>98</v>
      </c>
      <c r="G35" s="73" t="s">
        <v>7</v>
      </c>
      <c r="H35" s="73" t="s">
        <v>18</v>
      </c>
      <c r="I35" s="73" t="s">
        <v>56</v>
      </c>
      <c r="J35" s="73" t="s">
        <v>77</v>
      </c>
      <c r="K35" s="73" t="s">
        <v>21</v>
      </c>
    </row>
    <row r="36" spans="1:19" s="2" customFormat="1" ht="14.25" customHeight="1" x14ac:dyDescent="0.3">
      <c r="A36" s="73" t="s">
        <v>280</v>
      </c>
      <c r="B36" s="74">
        <v>46078</v>
      </c>
      <c r="C36" s="75">
        <v>1</v>
      </c>
      <c r="D36" s="75">
        <v>0</v>
      </c>
      <c r="E36" s="73" t="s">
        <v>153</v>
      </c>
      <c r="F36" s="73" t="s">
        <v>98</v>
      </c>
      <c r="G36" s="73" t="s">
        <v>7</v>
      </c>
      <c r="H36" s="73" t="s">
        <v>18</v>
      </c>
      <c r="I36" s="73" t="s">
        <v>56</v>
      </c>
      <c r="J36" s="73" t="s">
        <v>77</v>
      </c>
      <c r="K36" s="73" t="s">
        <v>21</v>
      </c>
    </row>
    <row r="37" spans="1:19" s="2" customFormat="1" ht="14.25" customHeight="1" x14ac:dyDescent="0.3">
      <c r="A37" s="73" t="s">
        <v>284</v>
      </c>
      <c r="B37" s="74">
        <v>46077</v>
      </c>
      <c r="C37" s="75">
        <v>1</v>
      </c>
      <c r="D37" s="75">
        <v>0</v>
      </c>
      <c r="E37" s="73" t="s">
        <v>285</v>
      </c>
      <c r="F37" s="73" t="s">
        <v>98</v>
      </c>
      <c r="G37" s="73" t="s">
        <v>7</v>
      </c>
      <c r="H37" s="73" t="s">
        <v>47</v>
      </c>
      <c r="I37" s="73" t="s">
        <v>9</v>
      </c>
      <c r="J37" s="73" t="s">
        <v>286</v>
      </c>
      <c r="K37" s="73" t="s">
        <v>287</v>
      </c>
    </row>
    <row r="38" spans="1:19" s="2" customFormat="1" ht="14.25" customHeight="1" x14ac:dyDescent="0.3">
      <c r="A38" s="73" t="s">
        <v>291</v>
      </c>
      <c r="B38" s="74">
        <v>46078</v>
      </c>
      <c r="C38" s="75">
        <v>1</v>
      </c>
      <c r="D38" s="75">
        <v>0</v>
      </c>
      <c r="E38" s="73" t="s">
        <v>292</v>
      </c>
      <c r="F38" s="73" t="s">
        <v>98</v>
      </c>
      <c r="G38" s="73" t="s">
        <v>7</v>
      </c>
      <c r="H38" s="73" t="s">
        <v>44</v>
      </c>
      <c r="I38" s="73" t="s">
        <v>9</v>
      </c>
      <c r="J38" s="73" t="s">
        <v>95</v>
      </c>
      <c r="K38" s="73" t="s">
        <v>13</v>
      </c>
    </row>
    <row r="39" spans="1:19" s="2" customFormat="1" ht="14.25" customHeight="1" x14ac:dyDescent="0.3">
      <c r="A39" s="73" t="s">
        <v>293</v>
      </c>
      <c r="B39" s="74">
        <v>46078</v>
      </c>
      <c r="C39" s="75">
        <v>1</v>
      </c>
      <c r="D39" s="75">
        <v>0</v>
      </c>
      <c r="E39" s="73" t="s">
        <v>294</v>
      </c>
      <c r="F39" s="73" t="s">
        <v>98</v>
      </c>
      <c r="G39" s="73" t="s">
        <v>7</v>
      </c>
      <c r="H39" s="73" t="s">
        <v>17</v>
      </c>
      <c r="I39" s="73" t="s">
        <v>20</v>
      </c>
      <c r="J39" s="73" t="s">
        <v>206</v>
      </c>
      <c r="K39" s="73" t="s">
        <v>24</v>
      </c>
    </row>
    <row r="40" spans="1:19" s="2" customFormat="1" ht="14.25" hidden="1" customHeight="1" x14ac:dyDescent="0.3">
      <c r="A40" s="40"/>
      <c r="B40" s="41"/>
      <c r="C40" s="42"/>
      <c r="D40" s="42"/>
      <c r="E40" s="40"/>
      <c r="F40" s="70"/>
      <c r="G40" s="40"/>
      <c r="H40" s="40"/>
      <c r="I40" s="40"/>
      <c r="J40" s="40"/>
      <c r="K40" s="40"/>
    </row>
    <row r="41" spans="1:19" s="2" customFormat="1" ht="14.25" hidden="1" customHeight="1" x14ac:dyDescent="0.3">
      <c r="A41" s="40"/>
      <c r="B41" s="41"/>
      <c r="C41" s="42"/>
      <c r="D41" s="42"/>
      <c r="E41" s="40"/>
      <c r="F41" s="70"/>
      <c r="G41" s="40"/>
      <c r="H41" s="40"/>
      <c r="I41" s="40"/>
      <c r="J41" s="40"/>
      <c r="K41" s="40"/>
    </row>
    <row r="42" spans="1:19" ht="15" thickBot="1" x14ac:dyDescent="0.35">
      <c r="A42" s="40"/>
      <c r="B42" s="41"/>
      <c r="C42" s="42"/>
      <c r="D42" s="42"/>
      <c r="E42" s="40"/>
      <c r="F42" s="40"/>
      <c r="G42" s="40"/>
      <c r="H42" s="40"/>
      <c r="I42" s="40"/>
      <c r="J42" s="40"/>
      <c r="K42" s="40"/>
      <c r="P42" s="3"/>
      <c r="Q42" s="3"/>
      <c r="R42" s="4"/>
      <c r="S42" s="4"/>
    </row>
    <row r="43" spans="1:19" ht="15" thickBot="1" x14ac:dyDescent="0.35">
      <c r="B43" s="34" t="s">
        <v>31</v>
      </c>
      <c r="C43" s="12">
        <f>SUM(C4:C33)-SUM(D4:D33)</f>
        <v>60</v>
      </c>
      <c r="D43" s="29"/>
      <c r="F43" s="35" t="s">
        <v>57</v>
      </c>
      <c r="G43" s="36">
        <f>COUNTIF(I4:I33,"Pending")</f>
        <v>6</v>
      </c>
      <c r="I43" s="38" t="s">
        <v>58</v>
      </c>
      <c r="J43" s="39">
        <f>C43-G43</f>
        <v>54</v>
      </c>
    </row>
    <row r="44" spans="1:19" x14ac:dyDescent="0.3">
      <c r="G44" s="3"/>
      <c r="H44" s="4"/>
      <c r="I44" s="3"/>
    </row>
    <row r="45" spans="1:19" hidden="1" x14ac:dyDescent="0.3">
      <c r="D45" s="13"/>
    </row>
    <row r="46" spans="1:19" s="6" customFormat="1" ht="28.8" x14ac:dyDescent="0.3">
      <c r="A46" s="28" t="s">
        <v>0</v>
      </c>
      <c r="B46" s="28" t="s">
        <v>1</v>
      </c>
      <c r="C46" s="28" t="s">
        <v>2</v>
      </c>
      <c r="D46" s="28" t="s">
        <v>3</v>
      </c>
      <c r="E46" s="28" t="s">
        <v>4</v>
      </c>
      <c r="F46" s="28" t="s">
        <v>51</v>
      </c>
      <c r="G46" s="28" t="s">
        <v>52</v>
      </c>
      <c r="H46" s="28" t="s">
        <v>5</v>
      </c>
      <c r="I46" s="28" t="s">
        <v>53</v>
      </c>
      <c r="J46" s="28" t="s">
        <v>27</v>
      </c>
      <c r="K46" s="28" t="s">
        <v>6</v>
      </c>
    </row>
    <row r="47" spans="1:19" s="18" customFormat="1" ht="15" customHeight="1" x14ac:dyDescent="0.3">
      <c r="A47" s="73" t="s">
        <v>92</v>
      </c>
      <c r="B47" s="74">
        <v>46056</v>
      </c>
      <c r="C47" s="75">
        <v>1</v>
      </c>
      <c r="D47" s="75">
        <v>0</v>
      </c>
      <c r="E47" s="73" t="s">
        <v>93</v>
      </c>
      <c r="F47" s="73" t="s">
        <v>98</v>
      </c>
      <c r="G47" s="73" t="s">
        <v>32</v>
      </c>
      <c r="H47" s="73" t="s">
        <v>94</v>
      </c>
      <c r="I47" s="73" t="s">
        <v>20</v>
      </c>
      <c r="J47" s="73" t="s">
        <v>95</v>
      </c>
      <c r="K47" s="73" t="s">
        <v>91</v>
      </c>
    </row>
    <row r="48" spans="1:19" s="18" customFormat="1" ht="15" customHeight="1" x14ac:dyDescent="0.3">
      <c r="A48" s="73" t="s">
        <v>99</v>
      </c>
      <c r="B48" s="74">
        <v>46056</v>
      </c>
      <c r="C48" s="75">
        <v>1</v>
      </c>
      <c r="D48" s="75">
        <v>0</v>
      </c>
      <c r="E48" s="73" t="s">
        <v>295</v>
      </c>
      <c r="F48" s="73" t="s">
        <v>98</v>
      </c>
      <c r="G48" s="73" t="s">
        <v>32</v>
      </c>
      <c r="H48" s="73" t="s">
        <v>44</v>
      </c>
      <c r="I48" s="73" t="s">
        <v>20</v>
      </c>
      <c r="J48" s="73" t="s">
        <v>95</v>
      </c>
      <c r="K48" s="73" t="s">
        <v>13</v>
      </c>
    </row>
    <row r="49" spans="1:29" s="18" customFormat="1" ht="15" customHeight="1" x14ac:dyDescent="0.3">
      <c r="A49" s="73" t="s">
        <v>172</v>
      </c>
      <c r="B49" s="74">
        <v>46056</v>
      </c>
      <c r="C49" s="75">
        <v>1</v>
      </c>
      <c r="D49" s="75">
        <v>0</v>
      </c>
      <c r="E49" s="73" t="s">
        <v>173</v>
      </c>
      <c r="F49" s="73" t="s">
        <v>98</v>
      </c>
      <c r="G49" s="73" t="s">
        <v>32</v>
      </c>
      <c r="H49" s="73" t="s">
        <v>33</v>
      </c>
      <c r="I49" s="73" t="s">
        <v>20</v>
      </c>
      <c r="J49" s="73" t="s">
        <v>175</v>
      </c>
      <c r="K49" s="73" t="s">
        <v>176</v>
      </c>
    </row>
    <row r="50" spans="1:29" hidden="1" x14ac:dyDescent="0.3">
      <c r="A50" s="51"/>
      <c r="B50" s="52"/>
      <c r="C50" s="53"/>
      <c r="D50" s="53"/>
      <c r="E50" s="51"/>
      <c r="F50" s="51"/>
      <c r="G50" s="51"/>
      <c r="H50" s="51"/>
      <c r="I50" s="51"/>
      <c r="J50" s="51"/>
      <c r="K50" s="2"/>
    </row>
    <row r="51" spans="1:29" ht="15" thickBot="1" x14ac:dyDescent="0.35">
      <c r="A51" s="51"/>
      <c r="B51" s="52"/>
      <c r="C51" s="53"/>
      <c r="D51" s="53"/>
      <c r="E51" s="51"/>
      <c r="F51" s="51"/>
      <c r="G51" s="51"/>
      <c r="H51" s="51"/>
      <c r="I51" s="51"/>
      <c r="J51" s="51"/>
      <c r="K51" s="2"/>
    </row>
    <row r="52" spans="1:29" ht="15" thickBot="1" x14ac:dyDescent="0.35">
      <c r="B52" s="60" t="s">
        <v>34</v>
      </c>
      <c r="C52" s="61">
        <v>5</v>
      </c>
      <c r="E52" s="2"/>
      <c r="F52" s="2"/>
      <c r="H52" s="2"/>
      <c r="J52" s="2"/>
      <c r="K52" s="2"/>
    </row>
    <row r="53" spans="1:29" x14ac:dyDescent="0.3">
      <c r="E53" s="2"/>
      <c r="F53" s="2"/>
      <c r="H53" s="2"/>
      <c r="J53" s="2"/>
      <c r="K53" s="2"/>
    </row>
    <row r="54" spans="1:29" hidden="1" x14ac:dyDescent="0.3">
      <c r="E54" s="2"/>
      <c r="F54" s="2"/>
      <c r="H54" s="2"/>
      <c r="J54" s="2"/>
      <c r="K54" s="2"/>
    </row>
    <row r="55" spans="1:29" s="2" customFormat="1" ht="34.35" customHeight="1" x14ac:dyDescent="0.3">
      <c r="A55" s="62" t="s">
        <v>0</v>
      </c>
      <c r="B55" s="62" t="s">
        <v>1</v>
      </c>
      <c r="C55" s="62" t="s">
        <v>2</v>
      </c>
      <c r="D55" s="62" t="s">
        <v>3</v>
      </c>
      <c r="E55" s="62" t="s">
        <v>4</v>
      </c>
      <c r="F55" s="62" t="s">
        <v>51</v>
      </c>
      <c r="G55" s="62" t="s">
        <v>52</v>
      </c>
      <c r="H55" s="62" t="s">
        <v>5</v>
      </c>
      <c r="I55" s="62" t="s">
        <v>53</v>
      </c>
      <c r="J55" s="62" t="s">
        <v>27</v>
      </c>
      <c r="K55" s="62" t="s">
        <v>6</v>
      </c>
    </row>
    <row r="56" spans="1:29" s="2" customFormat="1" x14ac:dyDescent="0.3">
      <c r="A56" s="73" t="s">
        <v>275</v>
      </c>
      <c r="B56" s="74">
        <v>46065</v>
      </c>
      <c r="C56" s="75">
        <v>3</v>
      </c>
      <c r="D56" s="75">
        <v>0</v>
      </c>
      <c r="E56" s="73" t="s">
        <v>29</v>
      </c>
      <c r="F56" s="64" t="s">
        <v>98</v>
      </c>
      <c r="G56" s="73" t="s">
        <v>55</v>
      </c>
      <c r="H56" s="73" t="s">
        <v>33</v>
      </c>
      <c r="I56" s="73" t="s">
        <v>20</v>
      </c>
      <c r="J56" s="73" t="s">
        <v>65</v>
      </c>
      <c r="K56" s="73" t="s">
        <v>48</v>
      </c>
      <c r="L56" s="4"/>
      <c r="M56" s="4"/>
      <c r="N56" s="4"/>
      <c r="O56" s="4"/>
      <c r="P56" s="4"/>
      <c r="Q56" s="4"/>
      <c r="R56" s="4"/>
    </row>
    <row r="57" spans="1:29" s="2" customFormat="1" x14ac:dyDescent="0.3">
      <c r="A57" s="73" t="s">
        <v>296</v>
      </c>
      <c r="B57" s="74">
        <v>46076</v>
      </c>
      <c r="C57" s="75">
        <v>1</v>
      </c>
      <c r="D57" s="75">
        <v>0</v>
      </c>
      <c r="E57" s="73" t="s">
        <v>297</v>
      </c>
      <c r="F57" s="64" t="s">
        <v>98</v>
      </c>
      <c r="G57" s="73" t="s">
        <v>55</v>
      </c>
      <c r="H57" s="73" t="s">
        <v>33</v>
      </c>
      <c r="I57" s="73" t="s">
        <v>20</v>
      </c>
      <c r="J57" s="73" t="s">
        <v>298</v>
      </c>
      <c r="K57" s="73" t="s">
        <v>21</v>
      </c>
      <c r="L57" s="4"/>
      <c r="M57" s="4"/>
      <c r="N57" s="4"/>
      <c r="O57" s="4"/>
      <c r="P57" s="4"/>
      <c r="Q57" s="4"/>
      <c r="R57" s="4"/>
    </row>
    <row r="58" spans="1:29" s="2" customFormat="1" x14ac:dyDescent="0.3">
      <c r="A58" s="73" t="s">
        <v>288</v>
      </c>
      <c r="B58" s="74">
        <v>46072</v>
      </c>
      <c r="C58" s="75">
        <v>1</v>
      </c>
      <c r="D58" s="75">
        <v>0</v>
      </c>
      <c r="E58" s="73" t="s">
        <v>40</v>
      </c>
      <c r="F58" s="64" t="s">
        <v>98</v>
      </c>
      <c r="G58" s="73" t="s">
        <v>55</v>
      </c>
      <c r="H58" s="73" t="s">
        <v>33</v>
      </c>
      <c r="I58" s="73" t="s">
        <v>20</v>
      </c>
      <c r="J58" s="73" t="s">
        <v>165</v>
      </c>
      <c r="K58" s="73" t="s">
        <v>13</v>
      </c>
      <c r="L58" s="4"/>
      <c r="M58" s="4"/>
      <c r="N58" s="4"/>
      <c r="O58" s="4"/>
      <c r="P58" s="4"/>
      <c r="Q58" s="4"/>
      <c r="R58" s="4"/>
    </row>
    <row r="59" spans="1:29" s="2" customFormat="1" x14ac:dyDescent="0.3">
      <c r="A59" s="73" t="s">
        <v>289</v>
      </c>
      <c r="B59" s="74">
        <v>46073</v>
      </c>
      <c r="C59" s="75">
        <v>1</v>
      </c>
      <c r="D59" s="75">
        <v>0</v>
      </c>
      <c r="E59" s="73" t="s">
        <v>214</v>
      </c>
      <c r="F59" s="64" t="s">
        <v>200</v>
      </c>
      <c r="G59" s="73" t="s">
        <v>55</v>
      </c>
      <c r="H59" s="73" t="s">
        <v>33</v>
      </c>
      <c r="I59" s="73" t="s">
        <v>20</v>
      </c>
      <c r="J59" s="73" t="s">
        <v>215</v>
      </c>
      <c r="K59" s="73" t="s">
        <v>290</v>
      </c>
      <c r="L59" s="4"/>
      <c r="M59" s="4"/>
      <c r="N59" s="4"/>
      <c r="O59" s="4"/>
      <c r="P59" s="4"/>
      <c r="Q59" s="4"/>
      <c r="R59" s="3"/>
      <c r="S59" s="3"/>
      <c r="T59" s="4"/>
      <c r="U59" s="4"/>
      <c r="V59" s="4"/>
      <c r="W59" s="4"/>
      <c r="X59" s="4"/>
      <c r="Y59" s="4"/>
      <c r="Z59" s="4"/>
      <c r="AA59" s="4"/>
      <c r="AB59" s="4"/>
      <c r="AC59" s="4"/>
    </row>
    <row r="60" spans="1:29" s="2" customFormat="1" x14ac:dyDescent="0.3">
      <c r="A60" s="73" t="s">
        <v>299</v>
      </c>
      <c r="B60" s="74">
        <v>46077</v>
      </c>
      <c r="C60" s="75">
        <v>1</v>
      </c>
      <c r="D60" s="75">
        <v>0</v>
      </c>
      <c r="E60" s="73" t="s">
        <v>46</v>
      </c>
      <c r="F60" s="64" t="s">
        <v>200</v>
      </c>
      <c r="G60" s="73" t="s">
        <v>55</v>
      </c>
      <c r="H60" s="73" t="s">
        <v>33</v>
      </c>
      <c r="I60" s="73" t="s">
        <v>20</v>
      </c>
      <c r="J60" s="73" t="s">
        <v>49</v>
      </c>
      <c r="K60" s="73" t="s">
        <v>48</v>
      </c>
      <c r="L60" s="4"/>
      <c r="M60" s="4"/>
      <c r="N60" s="4"/>
      <c r="O60" s="4"/>
      <c r="P60" s="4"/>
      <c r="Q60" s="4"/>
      <c r="R60" s="3"/>
      <c r="S60" s="3"/>
      <c r="T60" s="4"/>
      <c r="U60" s="4"/>
      <c r="V60" s="4"/>
      <c r="W60" s="4"/>
      <c r="X60" s="4"/>
      <c r="Y60" s="4"/>
      <c r="Z60" s="4"/>
      <c r="AA60" s="4"/>
      <c r="AB60" s="4"/>
      <c r="AC60" s="4"/>
    </row>
    <row r="61" spans="1:29" s="2" customFormat="1" x14ac:dyDescent="0.3">
      <c r="A61" s="73" t="s">
        <v>300</v>
      </c>
      <c r="B61" s="74">
        <v>46077</v>
      </c>
      <c r="C61" s="75">
        <v>1</v>
      </c>
      <c r="D61" s="75">
        <v>0</v>
      </c>
      <c r="E61" s="73" t="s">
        <v>301</v>
      </c>
      <c r="F61" s="64" t="s">
        <v>200</v>
      </c>
      <c r="G61" s="73" t="s">
        <v>55</v>
      </c>
      <c r="H61" s="73" t="s">
        <v>33</v>
      </c>
      <c r="I61" s="73" t="s">
        <v>20</v>
      </c>
      <c r="J61" s="73" t="s">
        <v>302</v>
      </c>
      <c r="K61" s="73" t="s">
        <v>91</v>
      </c>
      <c r="L61" s="4"/>
      <c r="M61" s="4"/>
      <c r="N61" s="4"/>
      <c r="O61" s="4"/>
      <c r="P61" s="4"/>
      <c r="Q61" s="4"/>
      <c r="R61" s="3"/>
      <c r="S61" s="3"/>
      <c r="T61" s="4"/>
      <c r="U61" s="4"/>
      <c r="V61" s="4"/>
      <c r="W61" s="4"/>
      <c r="X61" s="4"/>
      <c r="Y61" s="4"/>
      <c r="Z61" s="4"/>
      <c r="AA61" s="4"/>
      <c r="AB61" s="4"/>
      <c r="AC61" s="4"/>
    </row>
    <row r="62" spans="1:29" s="2" customFormat="1" x14ac:dyDescent="0.3">
      <c r="A62" s="73" t="s">
        <v>303</v>
      </c>
      <c r="B62" s="74">
        <v>46078</v>
      </c>
      <c r="C62" s="75">
        <v>1</v>
      </c>
      <c r="D62" s="75">
        <v>0</v>
      </c>
      <c r="E62" s="73" t="s">
        <v>240</v>
      </c>
      <c r="F62" s="73" t="s">
        <v>98</v>
      </c>
      <c r="G62" s="73" t="s">
        <v>55</v>
      </c>
      <c r="H62" s="73" t="s">
        <v>33</v>
      </c>
      <c r="I62" s="73" t="s">
        <v>20</v>
      </c>
      <c r="J62" s="73" t="s">
        <v>186</v>
      </c>
      <c r="K62" s="73" t="s">
        <v>194</v>
      </c>
      <c r="L62" s="4"/>
      <c r="M62" s="4"/>
      <c r="N62" s="4"/>
      <c r="O62" s="4"/>
      <c r="P62" s="4"/>
      <c r="Q62" s="4"/>
      <c r="R62" s="3"/>
      <c r="S62" s="3"/>
      <c r="T62" s="4"/>
      <c r="U62" s="4"/>
      <c r="V62" s="4"/>
      <c r="W62" s="4"/>
      <c r="X62" s="4"/>
      <c r="Y62" s="4"/>
      <c r="Z62" s="4"/>
      <c r="AA62" s="4"/>
      <c r="AB62" s="4"/>
      <c r="AC62" s="4"/>
    </row>
    <row r="63" spans="1:29" s="2" customFormat="1" x14ac:dyDescent="0.3">
      <c r="A63" s="73" t="s">
        <v>304</v>
      </c>
      <c r="B63" s="74">
        <v>46078</v>
      </c>
      <c r="C63" s="75">
        <v>1</v>
      </c>
      <c r="D63" s="75">
        <v>0</v>
      </c>
      <c r="E63" s="73" t="s">
        <v>136</v>
      </c>
      <c r="F63" s="64" t="s">
        <v>200</v>
      </c>
      <c r="G63" s="73" t="s">
        <v>55</v>
      </c>
      <c r="H63" s="73" t="s">
        <v>33</v>
      </c>
      <c r="I63" s="73" t="s">
        <v>20</v>
      </c>
      <c r="J63" s="73" t="s">
        <v>137</v>
      </c>
      <c r="K63" s="76" t="s">
        <v>13</v>
      </c>
      <c r="L63" s="4"/>
      <c r="M63" s="4"/>
      <c r="N63" s="4"/>
      <c r="O63" s="4"/>
      <c r="P63" s="4"/>
      <c r="Q63" s="4"/>
      <c r="R63" s="3"/>
      <c r="S63" s="3"/>
      <c r="T63" s="4"/>
      <c r="U63" s="4"/>
      <c r="V63" s="4"/>
      <c r="W63" s="4"/>
      <c r="X63" s="4"/>
      <c r="Y63" s="4"/>
      <c r="Z63" s="4"/>
      <c r="AA63" s="4"/>
      <c r="AB63" s="4"/>
      <c r="AC63" s="4"/>
    </row>
    <row r="64" spans="1:29" s="2" customFormat="1" hidden="1" x14ac:dyDescent="0.3">
      <c r="A64" s="70"/>
      <c r="B64" s="71"/>
      <c r="C64" s="72"/>
      <c r="D64" s="72"/>
      <c r="E64" s="70"/>
      <c r="F64" s="70"/>
      <c r="G64" s="70"/>
      <c r="H64" s="70"/>
      <c r="I64" s="70"/>
      <c r="J64" s="70"/>
      <c r="K64" s="70"/>
      <c r="L64" s="4"/>
      <c r="M64" s="4"/>
      <c r="N64" s="4"/>
      <c r="O64" s="4"/>
      <c r="P64" s="4"/>
      <c r="Q64" s="4"/>
      <c r="R64" s="3"/>
      <c r="S64" s="3"/>
      <c r="T64" s="4"/>
      <c r="U64" s="4"/>
      <c r="V64" s="4"/>
      <c r="W64" s="4"/>
      <c r="X64" s="4"/>
      <c r="Y64" s="4"/>
      <c r="Z64" s="4"/>
      <c r="AA64" s="4"/>
      <c r="AB64" s="4"/>
      <c r="AC64" s="4"/>
    </row>
    <row r="65" spans="1:29" s="2" customFormat="1" hidden="1" x14ac:dyDescent="0.3">
      <c r="A65" s="70"/>
      <c r="B65" s="71"/>
      <c r="C65" s="72"/>
      <c r="D65" s="72"/>
      <c r="E65" s="70"/>
      <c r="F65" s="70"/>
      <c r="G65" s="70"/>
      <c r="H65" s="70"/>
      <c r="I65" s="70"/>
      <c r="J65" s="70"/>
      <c r="K65" s="70"/>
      <c r="L65" s="4"/>
      <c r="M65" s="4"/>
      <c r="N65" s="4"/>
      <c r="O65" s="4"/>
      <c r="P65" s="4"/>
      <c r="Q65" s="4"/>
      <c r="R65" s="3"/>
      <c r="S65" s="3"/>
      <c r="T65" s="4"/>
      <c r="U65" s="4"/>
      <c r="V65" s="4"/>
      <c r="W65" s="4"/>
      <c r="X65" s="4"/>
      <c r="Y65" s="4"/>
      <c r="Z65" s="4"/>
      <c r="AA65" s="4"/>
      <c r="AB65" s="4"/>
      <c r="AC65" s="4"/>
    </row>
    <row r="66" spans="1:29" s="2" customFormat="1" ht="15" thickBot="1" x14ac:dyDescent="0.35">
      <c r="A66" s="70"/>
      <c r="B66" s="71"/>
      <c r="C66" s="72"/>
      <c r="D66" s="72"/>
      <c r="E66" s="70"/>
      <c r="F66" s="70"/>
      <c r="G66" s="70"/>
      <c r="H66" s="70"/>
      <c r="I66" s="70"/>
      <c r="J66" s="70"/>
      <c r="K66" s="70"/>
      <c r="L66" s="4"/>
      <c r="M66" s="4"/>
      <c r="N66" s="4"/>
      <c r="O66" s="4"/>
      <c r="P66" s="4"/>
      <c r="Q66" s="4"/>
      <c r="R66" s="3"/>
      <c r="S66" s="3"/>
      <c r="T66" s="4"/>
      <c r="U66" s="4"/>
      <c r="V66" s="4"/>
      <c r="W66" s="4"/>
      <c r="X66" s="4"/>
      <c r="Y66" s="4"/>
      <c r="Z66" s="4"/>
      <c r="AA66" s="4"/>
      <c r="AB66" s="4"/>
      <c r="AC66" s="4"/>
    </row>
    <row r="67" spans="1:29" ht="15" thickBot="1" x14ac:dyDescent="0.35">
      <c r="B67" s="38" t="s">
        <v>266</v>
      </c>
      <c r="C67" s="22">
        <v>11</v>
      </c>
    </row>
  </sheetData>
  <autoFilter ref="A3:J29" xr:uid="{6E392464-0CD5-4B6C-9B5A-A4EF4B03C567}"/>
  <conditionalFormatting sqref="F1:F41">
    <cfRule type="cellIs" dxfId="87" priority="9" operator="equal">
      <formula>"Non-Billable"</formula>
    </cfRule>
    <cfRule type="cellIs" dxfId="86" priority="10" operator="equal">
      <formula>"Billable"</formula>
    </cfRule>
  </conditionalFormatting>
  <conditionalFormatting sqref="F42">
    <cfRule type="cellIs" dxfId="85" priority="17" operator="equal">
      <formula>"Not Accepting Application"</formula>
    </cfRule>
    <cfRule type="cellIs" dxfId="84" priority="18" operator="equal">
      <formula>"Y"</formula>
    </cfRule>
  </conditionalFormatting>
  <conditionalFormatting sqref="F44:F1048576">
    <cfRule type="cellIs" dxfId="83" priority="1" operator="equal">
      <formula>"Non-Billable"</formula>
    </cfRule>
    <cfRule type="cellIs" dxfId="82" priority="2" operator="equal">
      <formula>"Billable"</formula>
    </cfRule>
  </conditionalFormatting>
  <conditionalFormatting sqref="H1:H2 H4:H41 F42 H43:H45 H47:H54 H59:H1048576">
    <cfRule type="cellIs" dxfId="81" priority="15" operator="equal">
      <formula>"Not accpeting applications"</formula>
    </cfRule>
  </conditionalFormatting>
  <conditionalFormatting sqref="H1:H2 H4:H41 H43:H45 H47:H54 V56:V58 AG59:AG67 H59:H1048576">
    <cfRule type="cellIs" dxfId="80" priority="14" operator="equal">
      <formula>"Not Accepting Applications"</formula>
    </cfRule>
  </conditionalFormatting>
  <conditionalFormatting sqref="H4:H41">
    <cfRule type="cellIs" dxfId="79" priority="16" operator="equal">
      <formula>"Accepting Applications"</formula>
    </cfRule>
  </conditionalFormatting>
  <conditionalFormatting sqref="H47:H49">
    <cfRule type="cellIs" dxfId="78" priority="19" operator="equal">
      <formula>"Not Accepting Application"</formula>
    </cfRule>
    <cfRule type="cellIs" dxfId="77" priority="20" operator="equal">
      <formula>"Accepting Applications"</formula>
    </cfRule>
    <cfRule type="cellIs" dxfId="76" priority="21" operator="equal">
      <formula>"Y"</formula>
    </cfRule>
  </conditionalFormatting>
  <conditionalFormatting sqref="I1:I41 F42:G42 I44:I1048576">
    <cfRule type="cellIs" dxfId="75" priority="12" operator="equal">
      <formula>"Accepting Applications"</formula>
    </cfRule>
    <cfRule type="cellIs" dxfId="74" priority="13" operator="equal">
      <formula>"Not Accepting Applications"</formula>
    </cfRule>
  </conditionalFormatting>
  <conditionalFormatting sqref="I1:I41 G42 I44:I1048576">
    <cfRule type="cellIs" dxfId="73" priority="11" operator="equal">
      <formula>"Pending"</formula>
    </cfRule>
  </conditionalFormatting>
  <pageMargins left="0.7" right="0.7" top="0.75" bottom="0.75" header="0.3" footer="0.3"/>
  <pageSetup orientation="landscape" horizontalDpi="4294967295" verticalDpi="4294967295"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5979D-706F-4C7E-B6CC-02F4C80619C5}">
  <sheetPr>
    <tabColor theme="2" tint="-0.249977111117893"/>
  </sheetPr>
  <dimension ref="A1:AC62"/>
  <sheetViews>
    <sheetView showGridLines="0" zoomScale="90" zoomScaleNormal="90" workbookViewId="0">
      <selection activeCell="F51" sqref="F51"/>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0.33333333333333331</v>
      </c>
      <c r="B1" s="37">
        <v>46076</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43" t="s">
        <v>122</v>
      </c>
      <c r="B4" s="44">
        <v>46071</v>
      </c>
      <c r="C4" s="45">
        <v>2</v>
      </c>
      <c r="D4" s="45">
        <v>1</v>
      </c>
      <c r="E4" s="43" t="s">
        <v>236</v>
      </c>
      <c r="F4" s="43" t="s">
        <v>98</v>
      </c>
      <c r="G4" s="43" t="s">
        <v>7</v>
      </c>
      <c r="H4" s="43" t="s">
        <v>18</v>
      </c>
      <c r="I4" s="43" t="s">
        <v>56</v>
      </c>
      <c r="J4" s="43" t="s">
        <v>121</v>
      </c>
      <c r="K4" s="43" t="s">
        <v>13</v>
      </c>
      <c r="AB4" s="2" t="s">
        <v>10</v>
      </c>
      <c r="AC4" s="2" t="s">
        <v>11</v>
      </c>
    </row>
    <row r="5" spans="1:29" s="2" customFormat="1" x14ac:dyDescent="0.3">
      <c r="A5" s="43" t="s">
        <v>128</v>
      </c>
      <c r="B5" s="44">
        <v>46035</v>
      </c>
      <c r="C5" s="45">
        <v>1</v>
      </c>
      <c r="D5" s="45">
        <v>0</v>
      </c>
      <c r="E5" s="43" t="s">
        <v>129</v>
      </c>
      <c r="F5" s="64" t="s">
        <v>200</v>
      </c>
      <c r="G5" s="43" t="s">
        <v>7</v>
      </c>
      <c r="H5" s="43" t="s">
        <v>64</v>
      </c>
      <c r="I5" s="43" t="s">
        <v>9</v>
      </c>
      <c r="J5" s="43" t="s">
        <v>65</v>
      </c>
      <c r="K5" s="43" t="s">
        <v>48</v>
      </c>
      <c r="AB5" s="2" t="s">
        <v>14</v>
      </c>
      <c r="AC5" s="2">
        <v>17</v>
      </c>
    </row>
    <row r="6" spans="1:29" s="2" customFormat="1" x14ac:dyDescent="0.3">
      <c r="A6" s="43" t="s">
        <v>152</v>
      </c>
      <c r="B6" s="44">
        <v>46006</v>
      </c>
      <c r="C6" s="45">
        <v>1</v>
      </c>
      <c r="D6" s="45">
        <v>0</v>
      </c>
      <c r="E6" s="43" t="s">
        <v>153</v>
      </c>
      <c r="F6" s="64" t="s">
        <v>200</v>
      </c>
      <c r="G6" s="43" t="s">
        <v>7</v>
      </c>
      <c r="H6" s="43" t="s">
        <v>33</v>
      </c>
      <c r="I6" s="43" t="s">
        <v>20</v>
      </c>
      <c r="J6" s="43" t="s">
        <v>77</v>
      </c>
      <c r="K6" s="43" t="s">
        <v>13</v>
      </c>
      <c r="N6" s="10"/>
      <c r="AB6" s="2" t="s">
        <v>15</v>
      </c>
      <c r="AC6" s="2">
        <v>3</v>
      </c>
    </row>
    <row r="7" spans="1:29" s="2" customFormat="1" x14ac:dyDescent="0.3">
      <c r="A7" s="43" t="s">
        <v>157</v>
      </c>
      <c r="B7" s="44">
        <v>46063</v>
      </c>
      <c r="C7" s="45">
        <v>1</v>
      </c>
      <c r="D7" s="45">
        <v>0</v>
      </c>
      <c r="E7" s="43" t="s">
        <v>158</v>
      </c>
      <c r="F7" s="43" t="s">
        <v>98</v>
      </c>
      <c r="G7" s="43" t="s">
        <v>7</v>
      </c>
      <c r="H7" s="43" t="s">
        <v>17</v>
      </c>
      <c r="I7" s="43" t="s">
        <v>9</v>
      </c>
      <c r="J7" s="43" t="s">
        <v>159</v>
      </c>
      <c r="K7" s="43" t="s">
        <v>28</v>
      </c>
      <c r="N7" s="10"/>
      <c r="V7" s="11"/>
      <c r="AB7" s="2" t="s">
        <v>16</v>
      </c>
      <c r="AC7" s="2">
        <v>4</v>
      </c>
    </row>
    <row r="8" spans="1:29" s="2" customFormat="1" x14ac:dyDescent="0.3">
      <c r="A8" s="43" t="s">
        <v>163</v>
      </c>
      <c r="B8" s="44">
        <v>46069</v>
      </c>
      <c r="C8" s="45">
        <v>1</v>
      </c>
      <c r="D8" s="45">
        <v>0</v>
      </c>
      <c r="E8" s="43" t="s">
        <v>164</v>
      </c>
      <c r="F8" s="43" t="s">
        <v>98</v>
      </c>
      <c r="G8" s="43" t="s">
        <v>7</v>
      </c>
      <c r="H8" s="43" t="s">
        <v>18</v>
      </c>
      <c r="I8" s="43" t="s">
        <v>56</v>
      </c>
      <c r="J8" s="43" t="s">
        <v>165</v>
      </c>
      <c r="K8" s="43" t="s">
        <v>13</v>
      </c>
      <c r="N8" s="10"/>
    </row>
    <row r="9" spans="1:29" s="2" customFormat="1" x14ac:dyDescent="0.3">
      <c r="A9" s="43" t="s">
        <v>202</v>
      </c>
      <c r="B9" s="44">
        <v>46063</v>
      </c>
      <c r="C9" s="45">
        <v>1</v>
      </c>
      <c r="D9" s="45">
        <v>0</v>
      </c>
      <c r="E9" s="43" t="s">
        <v>54</v>
      </c>
      <c r="F9" s="43" t="s">
        <v>98</v>
      </c>
      <c r="G9" s="43" t="s">
        <v>7</v>
      </c>
      <c r="H9" s="43" t="s">
        <v>183</v>
      </c>
      <c r="I9" s="43" t="s">
        <v>9</v>
      </c>
      <c r="J9" s="43" t="s">
        <v>203</v>
      </c>
      <c r="K9" s="43" t="s">
        <v>19</v>
      </c>
    </row>
    <row r="10" spans="1:29" s="2" customFormat="1" x14ac:dyDescent="0.3">
      <c r="A10" s="43" t="s">
        <v>204</v>
      </c>
      <c r="B10" s="44">
        <v>46063</v>
      </c>
      <c r="C10" s="45">
        <v>1</v>
      </c>
      <c r="D10" s="45">
        <v>0</v>
      </c>
      <c r="E10" s="43" t="s">
        <v>205</v>
      </c>
      <c r="F10" s="43" t="s">
        <v>98</v>
      </c>
      <c r="G10" s="43" t="s">
        <v>7</v>
      </c>
      <c r="H10" s="43" t="s">
        <v>17</v>
      </c>
      <c r="I10" s="43" t="s">
        <v>9</v>
      </c>
      <c r="J10" s="43" t="s">
        <v>206</v>
      </c>
      <c r="K10" s="43" t="s">
        <v>13</v>
      </c>
    </row>
    <row r="11" spans="1:29" s="2" customFormat="1" x14ac:dyDescent="0.3">
      <c r="A11" s="43" t="s">
        <v>209</v>
      </c>
      <c r="B11" s="44">
        <v>46063</v>
      </c>
      <c r="C11" s="45">
        <v>1</v>
      </c>
      <c r="D11" s="45">
        <v>0</v>
      </c>
      <c r="E11" s="43" t="s">
        <v>210</v>
      </c>
      <c r="F11" s="43" t="s">
        <v>98</v>
      </c>
      <c r="G11" s="43" t="s">
        <v>7</v>
      </c>
      <c r="H11" s="43" t="s">
        <v>17</v>
      </c>
      <c r="I11" s="43" t="s">
        <v>9</v>
      </c>
      <c r="J11" s="43" t="s">
        <v>206</v>
      </c>
      <c r="K11" s="43" t="s">
        <v>13</v>
      </c>
    </row>
    <row r="12" spans="1:29" s="2" customFormat="1" x14ac:dyDescent="0.3">
      <c r="A12" s="43" t="s">
        <v>217</v>
      </c>
      <c r="B12" s="44">
        <v>46051</v>
      </c>
      <c r="C12" s="45">
        <v>1</v>
      </c>
      <c r="D12" s="45">
        <v>0</v>
      </c>
      <c r="E12" s="43" t="s">
        <v>218</v>
      </c>
      <c r="F12" s="64" t="s">
        <v>200</v>
      </c>
      <c r="G12" s="43" t="s">
        <v>7</v>
      </c>
      <c r="H12" s="43" t="s">
        <v>148</v>
      </c>
      <c r="I12" s="43" t="s">
        <v>9</v>
      </c>
      <c r="J12" s="43" t="s">
        <v>121</v>
      </c>
      <c r="K12" s="43" t="s">
        <v>13</v>
      </c>
    </row>
    <row r="13" spans="1:29" s="2" customFormat="1" x14ac:dyDescent="0.3">
      <c r="A13" s="43" t="s">
        <v>221</v>
      </c>
      <c r="B13" s="44">
        <v>46050</v>
      </c>
      <c r="C13" s="45">
        <v>2</v>
      </c>
      <c r="D13" s="45">
        <v>0</v>
      </c>
      <c r="E13" s="43" t="s">
        <v>201</v>
      </c>
      <c r="F13" s="64" t="s">
        <v>200</v>
      </c>
      <c r="G13" s="43" t="s">
        <v>7</v>
      </c>
      <c r="H13" s="43" t="s">
        <v>47</v>
      </c>
      <c r="I13" s="43" t="s">
        <v>9</v>
      </c>
      <c r="J13" s="43" t="s">
        <v>105</v>
      </c>
      <c r="K13" s="43" t="s">
        <v>43</v>
      </c>
    </row>
    <row r="14" spans="1:29" s="2" customFormat="1" x14ac:dyDescent="0.3">
      <c r="A14" s="43" t="s">
        <v>222</v>
      </c>
      <c r="B14" s="44">
        <v>46065</v>
      </c>
      <c r="C14" s="45">
        <v>1</v>
      </c>
      <c r="D14" s="45">
        <v>0</v>
      </c>
      <c r="E14" s="43" t="s">
        <v>223</v>
      </c>
      <c r="F14" s="64" t="s">
        <v>200</v>
      </c>
      <c r="G14" s="43" t="s">
        <v>7</v>
      </c>
      <c r="H14" s="43" t="s">
        <v>18</v>
      </c>
      <c r="I14" s="43" t="s">
        <v>56</v>
      </c>
      <c r="J14" s="43" t="s">
        <v>180</v>
      </c>
      <c r="K14" s="43" t="s">
        <v>13</v>
      </c>
    </row>
    <row r="15" spans="1:29" s="2" customFormat="1" x14ac:dyDescent="0.3">
      <c r="A15" s="43" t="s">
        <v>224</v>
      </c>
      <c r="B15" s="44">
        <v>46069</v>
      </c>
      <c r="C15" s="45">
        <v>1</v>
      </c>
      <c r="D15" s="45">
        <v>0</v>
      </c>
      <c r="E15" s="43" t="s">
        <v>225</v>
      </c>
      <c r="F15" s="64" t="s">
        <v>200</v>
      </c>
      <c r="G15" s="43" t="s">
        <v>7</v>
      </c>
      <c r="H15" s="43" t="s">
        <v>18</v>
      </c>
      <c r="I15" s="43" t="s">
        <v>56</v>
      </c>
      <c r="J15" s="43" t="s">
        <v>180</v>
      </c>
      <c r="K15" s="43" t="s">
        <v>13</v>
      </c>
    </row>
    <row r="16" spans="1:29" s="2" customFormat="1" x14ac:dyDescent="0.3">
      <c r="A16" s="43" t="s">
        <v>226</v>
      </c>
      <c r="B16" s="44">
        <v>46069</v>
      </c>
      <c r="C16" s="45">
        <v>2</v>
      </c>
      <c r="D16" s="45">
        <v>1</v>
      </c>
      <c r="E16" s="43" t="s">
        <v>227</v>
      </c>
      <c r="F16" s="64" t="s">
        <v>200</v>
      </c>
      <c r="G16" s="43" t="s">
        <v>7</v>
      </c>
      <c r="H16" s="43" t="s">
        <v>18</v>
      </c>
      <c r="I16" s="43" t="s">
        <v>56</v>
      </c>
      <c r="J16" s="43" t="s">
        <v>180</v>
      </c>
      <c r="K16" s="43" t="s">
        <v>13</v>
      </c>
    </row>
    <row r="17" spans="1:11" s="2" customFormat="1" x14ac:dyDescent="0.3">
      <c r="A17" s="43" t="s">
        <v>228</v>
      </c>
      <c r="B17" s="44">
        <v>46045</v>
      </c>
      <c r="C17" s="45">
        <v>1</v>
      </c>
      <c r="D17" s="45">
        <v>0</v>
      </c>
      <c r="E17" s="43" t="s">
        <v>30</v>
      </c>
      <c r="F17" s="64" t="s">
        <v>200</v>
      </c>
      <c r="G17" s="43" t="s">
        <v>7</v>
      </c>
      <c r="H17" s="43" t="s">
        <v>8</v>
      </c>
      <c r="I17" s="43" t="s">
        <v>9</v>
      </c>
      <c r="J17" s="43" t="s">
        <v>12</v>
      </c>
      <c r="K17" s="43" t="s">
        <v>24</v>
      </c>
    </row>
    <row r="18" spans="1:11" s="2" customFormat="1" x14ac:dyDescent="0.3">
      <c r="A18" s="43" t="s">
        <v>229</v>
      </c>
      <c r="B18" s="44">
        <v>46065</v>
      </c>
      <c r="C18" s="45">
        <v>3</v>
      </c>
      <c r="D18" s="45">
        <v>2</v>
      </c>
      <c r="E18" s="43" t="s">
        <v>45</v>
      </c>
      <c r="F18" s="64" t="s">
        <v>200</v>
      </c>
      <c r="G18" s="43" t="s">
        <v>7</v>
      </c>
      <c r="H18" s="43" t="s">
        <v>272</v>
      </c>
      <c r="I18" s="43" t="s">
        <v>20</v>
      </c>
      <c r="J18" s="43" t="s">
        <v>121</v>
      </c>
      <c r="K18" s="43" t="s">
        <v>13</v>
      </c>
    </row>
    <row r="19" spans="1:11" s="2" customFormat="1" ht="15" customHeight="1" x14ac:dyDescent="0.3">
      <c r="A19" s="43" t="s">
        <v>230</v>
      </c>
      <c r="B19" s="44">
        <v>46065</v>
      </c>
      <c r="C19" s="45">
        <v>1</v>
      </c>
      <c r="D19" s="45">
        <v>0</v>
      </c>
      <c r="E19" s="43" t="s">
        <v>263</v>
      </c>
      <c r="F19" s="43" t="s">
        <v>273</v>
      </c>
      <c r="G19" s="43" t="s">
        <v>7</v>
      </c>
      <c r="H19" s="43" t="s">
        <v>274</v>
      </c>
      <c r="I19" s="43" t="s">
        <v>9</v>
      </c>
      <c r="J19" s="43" t="s">
        <v>12</v>
      </c>
      <c r="K19" s="43" t="s">
        <v>24</v>
      </c>
    </row>
    <row r="20" spans="1:11" s="2" customFormat="1" ht="13.95" customHeight="1" x14ac:dyDescent="0.3">
      <c r="A20" s="43" t="s">
        <v>233</v>
      </c>
      <c r="B20" s="44">
        <v>46050</v>
      </c>
      <c r="C20" s="45">
        <v>3</v>
      </c>
      <c r="D20" s="45">
        <v>0</v>
      </c>
      <c r="E20" s="43" t="s">
        <v>63</v>
      </c>
      <c r="F20" s="64" t="s">
        <v>200</v>
      </c>
      <c r="G20" s="43" t="s">
        <v>7</v>
      </c>
      <c r="H20" s="43" t="s">
        <v>33</v>
      </c>
      <c r="I20" s="43" t="s">
        <v>20</v>
      </c>
      <c r="J20" s="43" t="s">
        <v>65</v>
      </c>
      <c r="K20" s="43" t="s">
        <v>48</v>
      </c>
    </row>
    <row r="21" spans="1:11" s="2" customFormat="1" x14ac:dyDescent="0.3">
      <c r="A21" s="43" t="s">
        <v>234</v>
      </c>
      <c r="B21" s="44">
        <v>46056</v>
      </c>
      <c r="C21" s="45">
        <v>30</v>
      </c>
      <c r="D21" s="45">
        <v>2</v>
      </c>
      <c r="E21" s="43" t="s">
        <v>45</v>
      </c>
      <c r="F21" s="64" t="s">
        <v>200</v>
      </c>
      <c r="G21" s="43" t="s">
        <v>7</v>
      </c>
      <c r="H21" s="43" t="s">
        <v>259</v>
      </c>
      <c r="I21" s="43" t="s">
        <v>20</v>
      </c>
      <c r="J21" s="43" t="s">
        <v>49</v>
      </c>
      <c r="K21" s="43" t="s">
        <v>91</v>
      </c>
    </row>
    <row r="22" spans="1:11" s="2" customFormat="1" x14ac:dyDescent="0.3">
      <c r="A22" s="43" t="s">
        <v>251</v>
      </c>
      <c r="B22" s="44">
        <v>46063</v>
      </c>
      <c r="C22" s="45">
        <v>1</v>
      </c>
      <c r="D22" s="45">
        <v>0</v>
      </c>
      <c r="E22" s="43" t="s">
        <v>193</v>
      </c>
      <c r="F22" s="64" t="s">
        <v>98</v>
      </c>
      <c r="G22" s="43" t="s">
        <v>7</v>
      </c>
      <c r="H22" s="43" t="s">
        <v>148</v>
      </c>
      <c r="I22" s="43" t="s">
        <v>9</v>
      </c>
      <c r="J22" s="43" t="s">
        <v>252</v>
      </c>
      <c r="K22" s="43" t="s">
        <v>48</v>
      </c>
    </row>
    <row r="23" spans="1:11" s="2" customFormat="1" x14ac:dyDescent="0.3">
      <c r="A23" s="43" t="s">
        <v>246</v>
      </c>
      <c r="B23" s="44">
        <v>46055</v>
      </c>
      <c r="C23" s="45">
        <v>1</v>
      </c>
      <c r="D23" s="45">
        <v>0</v>
      </c>
      <c r="E23" s="43" t="s">
        <v>232</v>
      </c>
      <c r="F23" s="64" t="s">
        <v>200</v>
      </c>
      <c r="G23" s="43" t="s">
        <v>7</v>
      </c>
      <c r="H23" s="43" t="s">
        <v>33</v>
      </c>
      <c r="I23" s="43" t="s">
        <v>20</v>
      </c>
      <c r="J23" s="43" t="s">
        <v>65</v>
      </c>
      <c r="K23" s="43" t="s">
        <v>48</v>
      </c>
    </row>
    <row r="24" spans="1:11" s="2" customFormat="1" ht="15" customHeight="1" x14ac:dyDescent="0.3">
      <c r="A24" s="43" t="s">
        <v>247</v>
      </c>
      <c r="B24" s="44">
        <v>46056</v>
      </c>
      <c r="C24" s="45">
        <v>1</v>
      </c>
      <c r="D24" s="45">
        <v>0</v>
      </c>
      <c r="E24" s="43" t="s">
        <v>120</v>
      </c>
      <c r="F24" s="64" t="s">
        <v>200</v>
      </c>
      <c r="G24" s="43" t="s">
        <v>7</v>
      </c>
      <c r="H24" s="43" t="s">
        <v>260</v>
      </c>
      <c r="I24" s="43" t="s">
        <v>9</v>
      </c>
      <c r="J24" s="43" t="s">
        <v>248</v>
      </c>
      <c r="K24" s="43" t="s">
        <v>43</v>
      </c>
    </row>
    <row r="25" spans="1:11" s="2" customFormat="1" x14ac:dyDescent="0.3">
      <c r="A25" s="43" t="s">
        <v>249</v>
      </c>
      <c r="B25" s="44">
        <v>46055</v>
      </c>
      <c r="C25" s="45">
        <v>2</v>
      </c>
      <c r="D25" s="45">
        <v>0</v>
      </c>
      <c r="E25" s="43" t="s">
        <v>45</v>
      </c>
      <c r="F25" s="64" t="s">
        <v>200</v>
      </c>
      <c r="G25" s="43" t="s">
        <v>7</v>
      </c>
      <c r="H25" s="43" t="s">
        <v>139</v>
      </c>
      <c r="I25" s="43" t="s">
        <v>20</v>
      </c>
      <c r="J25" s="43" t="s">
        <v>33</v>
      </c>
      <c r="K25" s="43" t="s">
        <v>250</v>
      </c>
    </row>
    <row r="26" spans="1:11" s="2" customFormat="1" x14ac:dyDescent="0.3">
      <c r="A26" s="43" t="s">
        <v>253</v>
      </c>
      <c r="B26" s="44">
        <v>46069</v>
      </c>
      <c r="C26" s="45">
        <v>1</v>
      </c>
      <c r="D26" s="45">
        <v>0</v>
      </c>
      <c r="E26" s="43" t="s">
        <v>244</v>
      </c>
      <c r="F26" s="64" t="s">
        <v>98</v>
      </c>
      <c r="G26" s="43" t="s">
        <v>7</v>
      </c>
      <c r="H26" s="43" t="s">
        <v>33</v>
      </c>
      <c r="I26" s="43" t="s">
        <v>20</v>
      </c>
      <c r="J26" s="43" t="s">
        <v>103</v>
      </c>
      <c r="K26" s="43" t="s">
        <v>21</v>
      </c>
    </row>
    <row r="27" spans="1:11" s="2" customFormat="1" x14ac:dyDescent="0.3">
      <c r="A27" s="43" t="s">
        <v>254</v>
      </c>
      <c r="B27" s="44">
        <v>46069</v>
      </c>
      <c r="C27" s="45">
        <v>1</v>
      </c>
      <c r="D27" s="45">
        <v>0</v>
      </c>
      <c r="E27" s="43" t="s">
        <v>101</v>
      </c>
      <c r="F27" s="64" t="s">
        <v>98</v>
      </c>
      <c r="G27" s="43" t="s">
        <v>7</v>
      </c>
      <c r="H27" s="43" t="s">
        <v>33</v>
      </c>
      <c r="I27" s="43" t="s">
        <v>20</v>
      </c>
      <c r="J27" s="43" t="s">
        <v>103</v>
      </c>
      <c r="K27" s="43" t="s">
        <v>21</v>
      </c>
    </row>
    <row r="28" spans="1:11" s="2" customFormat="1" x14ac:dyDescent="0.3">
      <c r="A28" s="43" t="s">
        <v>261</v>
      </c>
      <c r="B28" s="44">
        <v>46066</v>
      </c>
      <c r="C28" s="45">
        <v>1</v>
      </c>
      <c r="D28" s="45">
        <v>0</v>
      </c>
      <c r="E28" s="43" t="s">
        <v>262</v>
      </c>
      <c r="F28" s="64" t="s">
        <v>98</v>
      </c>
      <c r="G28" s="43" t="s">
        <v>7</v>
      </c>
      <c r="H28" s="43" t="s">
        <v>17</v>
      </c>
      <c r="I28" s="43" t="s">
        <v>9</v>
      </c>
      <c r="J28" s="43" t="s">
        <v>191</v>
      </c>
      <c r="K28" s="43" t="s">
        <v>13</v>
      </c>
    </row>
    <row r="29" spans="1:11" s="2" customFormat="1" x14ac:dyDescent="0.3">
      <c r="A29" s="43" t="s">
        <v>264</v>
      </c>
      <c r="B29" s="44">
        <v>46069</v>
      </c>
      <c r="C29" s="45">
        <v>1</v>
      </c>
      <c r="D29" s="45">
        <v>0</v>
      </c>
      <c r="E29" s="43" t="s">
        <v>29</v>
      </c>
      <c r="F29" s="64" t="s">
        <v>98</v>
      </c>
      <c r="G29" s="43" t="s">
        <v>7</v>
      </c>
      <c r="H29" s="43" t="s">
        <v>33</v>
      </c>
      <c r="I29" s="43" t="s">
        <v>20</v>
      </c>
      <c r="J29" s="43" t="s">
        <v>65</v>
      </c>
      <c r="K29" s="43" t="s">
        <v>48</v>
      </c>
    </row>
    <row r="30" spans="1:11" s="2" customFormat="1" ht="13.95" customHeight="1" x14ac:dyDescent="0.3">
      <c r="A30" s="43" t="s">
        <v>265</v>
      </c>
      <c r="B30" s="44">
        <v>46069</v>
      </c>
      <c r="C30" s="45">
        <v>1</v>
      </c>
      <c r="D30" s="45">
        <v>0</v>
      </c>
      <c r="E30" s="43" t="s">
        <v>29</v>
      </c>
      <c r="F30" s="64" t="s">
        <v>98</v>
      </c>
      <c r="G30" s="43" t="s">
        <v>7</v>
      </c>
      <c r="H30" s="43" t="s">
        <v>33</v>
      </c>
      <c r="I30" s="43" t="s">
        <v>20</v>
      </c>
      <c r="J30" s="43" t="s">
        <v>65</v>
      </c>
      <c r="K30" s="43" t="s">
        <v>48</v>
      </c>
    </row>
    <row r="31" spans="1:11" s="2" customFormat="1" ht="14.25" customHeight="1" x14ac:dyDescent="0.3">
      <c r="A31" s="43" t="s">
        <v>267</v>
      </c>
      <c r="B31" s="44">
        <v>46076</v>
      </c>
      <c r="C31" s="45">
        <v>1</v>
      </c>
      <c r="D31" s="45">
        <v>0</v>
      </c>
      <c r="E31" s="43" t="s">
        <v>268</v>
      </c>
      <c r="F31" s="64" t="s">
        <v>98</v>
      </c>
      <c r="G31" s="43" t="s">
        <v>7</v>
      </c>
      <c r="H31" s="43" t="s">
        <v>27</v>
      </c>
      <c r="I31" s="43" t="s">
        <v>9</v>
      </c>
      <c r="J31" s="43" t="s">
        <v>269</v>
      </c>
      <c r="K31" s="43" t="s">
        <v>22</v>
      </c>
    </row>
    <row r="32" spans="1:11" s="2" customFormat="1" ht="14.25" customHeight="1" x14ac:dyDescent="0.3">
      <c r="A32" s="43" t="s">
        <v>270</v>
      </c>
      <c r="B32" s="44">
        <v>46069</v>
      </c>
      <c r="C32" s="45">
        <v>1</v>
      </c>
      <c r="D32" s="45">
        <v>0</v>
      </c>
      <c r="E32" s="43" t="s">
        <v>25</v>
      </c>
      <c r="F32" s="64" t="s">
        <v>200</v>
      </c>
      <c r="G32" s="43" t="s">
        <v>7</v>
      </c>
      <c r="H32" s="43" t="s">
        <v>64</v>
      </c>
      <c r="I32" s="43" t="s">
        <v>9</v>
      </c>
      <c r="J32" s="43" t="s">
        <v>271</v>
      </c>
      <c r="K32" s="43" t="s">
        <v>43</v>
      </c>
    </row>
    <row r="33" spans="1:19" s="2" customFormat="1" ht="14.25" customHeight="1" x14ac:dyDescent="0.3">
      <c r="A33" s="43" t="s">
        <v>276</v>
      </c>
      <c r="B33" s="44">
        <v>46073</v>
      </c>
      <c r="C33" s="45">
        <v>1</v>
      </c>
      <c r="D33" s="45">
        <v>0</v>
      </c>
      <c r="E33" s="43" t="s">
        <v>281</v>
      </c>
      <c r="F33" s="64" t="s">
        <v>98</v>
      </c>
      <c r="G33" s="43" t="s">
        <v>7</v>
      </c>
      <c r="H33" s="43" t="s">
        <v>33</v>
      </c>
      <c r="I33" s="43" t="s">
        <v>9</v>
      </c>
      <c r="J33" s="43" t="s">
        <v>42</v>
      </c>
      <c r="K33" s="43" t="s">
        <v>282</v>
      </c>
    </row>
    <row r="34" spans="1:19" s="2" customFormat="1" ht="14.25" customHeight="1" x14ac:dyDescent="0.3">
      <c r="A34" s="43" t="s">
        <v>277</v>
      </c>
      <c r="B34" s="44">
        <v>46073</v>
      </c>
      <c r="C34" s="45">
        <v>1</v>
      </c>
      <c r="D34" s="45">
        <v>0</v>
      </c>
      <c r="E34" s="43" t="s">
        <v>283</v>
      </c>
      <c r="F34" s="64" t="s">
        <v>98</v>
      </c>
      <c r="G34" s="43" t="s">
        <v>7</v>
      </c>
      <c r="H34" s="43" t="s">
        <v>33</v>
      </c>
      <c r="I34" s="43" t="s">
        <v>20</v>
      </c>
      <c r="J34" s="43" t="s">
        <v>134</v>
      </c>
      <c r="K34" s="43" t="s">
        <v>13</v>
      </c>
    </row>
    <row r="35" spans="1:19" ht="15" thickBot="1" x14ac:dyDescent="0.35">
      <c r="A35" s="40"/>
      <c r="B35" s="41"/>
      <c r="C35" s="42"/>
      <c r="D35" s="42"/>
      <c r="E35" s="40"/>
      <c r="F35" s="40"/>
      <c r="G35" s="40"/>
      <c r="H35" s="40"/>
      <c r="I35" s="40"/>
      <c r="J35" s="40"/>
      <c r="K35" s="40"/>
      <c r="P35" s="3"/>
      <c r="Q35" s="3"/>
      <c r="R35" s="4"/>
      <c r="S35" s="4"/>
    </row>
    <row r="36" spans="1:19" ht="15" thickBot="1" x14ac:dyDescent="0.35">
      <c r="B36" s="34" t="s">
        <v>31</v>
      </c>
      <c r="C36" s="12">
        <f>SUM(C4:C34)-SUM(D4:D34)</f>
        <v>62</v>
      </c>
      <c r="D36" s="29"/>
      <c r="F36" s="35" t="s">
        <v>57</v>
      </c>
      <c r="G36" s="36">
        <f>COUNTIF(I4:I34,"Pending")</f>
        <v>5</v>
      </c>
      <c r="I36" s="38" t="s">
        <v>58</v>
      </c>
      <c r="J36" s="39">
        <f>C36-G36</f>
        <v>57</v>
      </c>
    </row>
    <row r="37" spans="1:19" x14ac:dyDescent="0.3">
      <c r="G37" s="3"/>
      <c r="H37" s="4"/>
      <c r="I37" s="3"/>
    </row>
    <row r="38" spans="1:19" hidden="1" x14ac:dyDescent="0.3">
      <c r="D38" s="13"/>
    </row>
    <row r="39" spans="1:19" s="6" customFormat="1" ht="28.8" x14ac:dyDescent="0.3">
      <c r="A39" s="28" t="s">
        <v>0</v>
      </c>
      <c r="B39" s="28" t="s">
        <v>1</v>
      </c>
      <c r="C39" s="28" t="s">
        <v>2</v>
      </c>
      <c r="D39" s="28" t="s">
        <v>3</v>
      </c>
      <c r="E39" s="28" t="s">
        <v>4</v>
      </c>
      <c r="F39" s="28" t="s">
        <v>51</v>
      </c>
      <c r="G39" s="28" t="s">
        <v>52</v>
      </c>
      <c r="H39" s="28" t="s">
        <v>5</v>
      </c>
      <c r="I39" s="28" t="s">
        <v>53</v>
      </c>
      <c r="J39" s="28" t="s">
        <v>27</v>
      </c>
      <c r="K39" s="28" t="s">
        <v>6</v>
      </c>
    </row>
    <row r="40" spans="1:19" s="18" customFormat="1" ht="15" customHeight="1" x14ac:dyDescent="0.3">
      <c r="A40" s="73" t="s">
        <v>74</v>
      </c>
      <c r="B40" s="74">
        <v>46056</v>
      </c>
      <c r="C40" s="75">
        <v>1</v>
      </c>
      <c r="D40" s="75">
        <v>0</v>
      </c>
      <c r="E40" s="73" t="s">
        <v>75</v>
      </c>
      <c r="F40" s="64" t="s">
        <v>98</v>
      </c>
      <c r="G40" s="73" t="s">
        <v>32</v>
      </c>
      <c r="H40" s="73" t="s">
        <v>76</v>
      </c>
      <c r="I40" s="73" t="s">
        <v>20</v>
      </c>
      <c r="J40" s="73" t="s">
        <v>77</v>
      </c>
      <c r="K40" s="73" t="s">
        <v>13</v>
      </c>
    </row>
    <row r="41" spans="1:19" s="18" customFormat="1" ht="15" customHeight="1" x14ac:dyDescent="0.3">
      <c r="A41" s="73" t="s">
        <v>92</v>
      </c>
      <c r="B41" s="74">
        <v>46056</v>
      </c>
      <c r="C41" s="75">
        <v>1</v>
      </c>
      <c r="D41" s="75">
        <v>0</v>
      </c>
      <c r="E41" s="73" t="s">
        <v>93</v>
      </c>
      <c r="F41" s="64" t="s">
        <v>98</v>
      </c>
      <c r="G41" s="73" t="s">
        <v>32</v>
      </c>
      <c r="H41" s="73" t="s">
        <v>94</v>
      </c>
      <c r="I41" s="73" t="s">
        <v>20</v>
      </c>
      <c r="J41" s="73" t="s">
        <v>95</v>
      </c>
      <c r="K41" s="73" t="s">
        <v>91</v>
      </c>
    </row>
    <row r="42" spans="1:19" s="18" customFormat="1" ht="15" customHeight="1" x14ac:dyDescent="0.3">
      <c r="A42" s="73" t="s">
        <v>99</v>
      </c>
      <c r="B42" s="74">
        <v>46056</v>
      </c>
      <c r="C42" s="75">
        <v>1</v>
      </c>
      <c r="D42" s="75">
        <v>0</v>
      </c>
      <c r="E42" s="73" t="s">
        <v>295</v>
      </c>
      <c r="F42" s="64" t="s">
        <v>98</v>
      </c>
      <c r="G42" s="73" t="s">
        <v>32</v>
      </c>
      <c r="H42" s="73" t="s">
        <v>44</v>
      </c>
      <c r="I42" s="73" t="s">
        <v>20</v>
      </c>
      <c r="J42" s="73" t="s">
        <v>95</v>
      </c>
      <c r="K42" s="73" t="s">
        <v>13</v>
      </c>
    </row>
    <row r="43" spans="1:19" s="18" customFormat="1" ht="15" customHeight="1" x14ac:dyDescent="0.3">
      <c r="A43" s="73" t="s">
        <v>172</v>
      </c>
      <c r="B43" s="74">
        <v>46056</v>
      </c>
      <c r="C43" s="75">
        <v>1</v>
      </c>
      <c r="D43" s="75">
        <v>0</v>
      </c>
      <c r="E43" s="73" t="s">
        <v>173</v>
      </c>
      <c r="F43" s="64" t="s">
        <v>98</v>
      </c>
      <c r="G43" s="73" t="s">
        <v>32</v>
      </c>
      <c r="H43" s="73" t="s">
        <v>33</v>
      </c>
      <c r="I43" s="73" t="s">
        <v>20</v>
      </c>
      <c r="J43" s="73" t="s">
        <v>175</v>
      </c>
      <c r="K43" s="73" t="s">
        <v>176</v>
      </c>
    </row>
    <row r="44" spans="1:19" ht="15" hidden="1" thickBot="1" x14ac:dyDescent="0.35">
      <c r="A44" s="51"/>
      <c r="B44" s="52"/>
      <c r="C44" s="53"/>
      <c r="D44" s="53"/>
      <c r="E44" s="51"/>
      <c r="F44" s="51"/>
      <c r="G44" s="51"/>
      <c r="H44" s="51"/>
      <c r="I44" s="51"/>
      <c r="J44" s="51"/>
      <c r="K44" s="2"/>
    </row>
    <row r="45" spans="1:19" ht="15" thickBot="1" x14ac:dyDescent="0.35">
      <c r="A45" s="51"/>
      <c r="B45" s="52"/>
      <c r="C45" s="53"/>
      <c r="D45" s="53"/>
      <c r="E45" s="51"/>
      <c r="F45" s="51"/>
      <c r="G45" s="51"/>
      <c r="H45" s="51"/>
      <c r="I45" s="51"/>
      <c r="J45" s="51"/>
      <c r="K45" s="2"/>
    </row>
    <row r="46" spans="1:19" ht="15" thickBot="1" x14ac:dyDescent="0.35">
      <c r="B46" s="60" t="s">
        <v>34</v>
      </c>
      <c r="C46" s="61">
        <v>5</v>
      </c>
      <c r="E46" s="2"/>
      <c r="F46" s="2"/>
      <c r="H46" s="2"/>
      <c r="J46" s="2"/>
      <c r="K46" s="2"/>
    </row>
    <row r="47" spans="1:19" x14ac:dyDescent="0.3">
      <c r="E47" s="2"/>
      <c r="F47" s="2"/>
      <c r="H47" s="2"/>
      <c r="J47" s="2"/>
      <c r="K47" s="2"/>
    </row>
    <row r="48" spans="1:19" hidden="1" x14ac:dyDescent="0.3">
      <c r="E48" s="2"/>
      <c r="F48" s="2"/>
      <c r="H48" s="2"/>
      <c r="J48" s="2"/>
      <c r="K48" s="2"/>
    </row>
    <row r="49" spans="1:29" s="2" customFormat="1" ht="34.35" customHeight="1" x14ac:dyDescent="0.3">
      <c r="A49" s="62" t="s">
        <v>0</v>
      </c>
      <c r="B49" s="62" t="s">
        <v>1</v>
      </c>
      <c r="C49" s="62" t="s">
        <v>2</v>
      </c>
      <c r="D49" s="62" t="s">
        <v>3</v>
      </c>
      <c r="E49" s="62" t="s">
        <v>4</v>
      </c>
      <c r="F49" s="62" t="s">
        <v>51</v>
      </c>
      <c r="G49" s="62" t="s">
        <v>52</v>
      </c>
      <c r="H49" s="62" t="s">
        <v>5</v>
      </c>
      <c r="I49" s="62" t="s">
        <v>53</v>
      </c>
      <c r="J49" s="62" t="s">
        <v>27</v>
      </c>
      <c r="K49" s="62" t="s">
        <v>6</v>
      </c>
    </row>
    <row r="50" spans="1:29" s="2" customFormat="1" x14ac:dyDescent="0.3">
      <c r="A50" s="43" t="s">
        <v>243</v>
      </c>
      <c r="B50" s="44">
        <v>46050</v>
      </c>
      <c r="C50" s="45">
        <v>1</v>
      </c>
      <c r="D50" s="45">
        <v>0</v>
      </c>
      <c r="E50" s="43" t="s">
        <v>244</v>
      </c>
      <c r="F50" s="64" t="s">
        <v>98</v>
      </c>
      <c r="G50" s="43" t="s">
        <v>55</v>
      </c>
      <c r="H50" s="43" t="s">
        <v>102</v>
      </c>
      <c r="I50" s="43" t="s">
        <v>20</v>
      </c>
      <c r="J50" s="43" t="s">
        <v>103</v>
      </c>
      <c r="K50" s="43" t="s">
        <v>21</v>
      </c>
      <c r="L50" s="4"/>
      <c r="M50" s="4"/>
      <c r="N50" s="4"/>
      <c r="O50" s="4"/>
      <c r="P50" s="4"/>
      <c r="Q50" s="4"/>
      <c r="R50" s="4"/>
    </row>
    <row r="51" spans="1:29" s="2" customFormat="1" x14ac:dyDescent="0.3">
      <c r="A51" s="43" t="s">
        <v>275</v>
      </c>
      <c r="B51" s="44">
        <v>46065</v>
      </c>
      <c r="C51" s="45">
        <v>3</v>
      </c>
      <c r="D51" s="45">
        <v>0</v>
      </c>
      <c r="E51" s="43" t="s">
        <v>29</v>
      </c>
      <c r="F51" s="64" t="s">
        <v>98</v>
      </c>
      <c r="G51" s="43" t="s">
        <v>55</v>
      </c>
      <c r="H51" s="43" t="s">
        <v>33</v>
      </c>
      <c r="I51" s="43" t="s">
        <v>20</v>
      </c>
      <c r="J51" s="43" t="s">
        <v>65</v>
      </c>
      <c r="K51" s="43" t="s">
        <v>48</v>
      </c>
      <c r="L51" s="4"/>
      <c r="M51" s="4"/>
      <c r="N51" s="4"/>
      <c r="O51" s="4"/>
      <c r="P51" s="4"/>
      <c r="Q51" s="4"/>
      <c r="R51" s="4"/>
    </row>
    <row r="52" spans="1:29" s="2" customFormat="1" x14ac:dyDescent="0.3">
      <c r="A52" s="43" t="s">
        <v>279</v>
      </c>
      <c r="B52" s="44">
        <v>46071</v>
      </c>
      <c r="C52" s="45">
        <v>1</v>
      </c>
      <c r="D52" s="45">
        <v>0</v>
      </c>
      <c r="E52" s="43" t="s">
        <v>153</v>
      </c>
      <c r="F52" s="64" t="s">
        <v>200</v>
      </c>
      <c r="G52" s="43" t="s">
        <v>55</v>
      </c>
      <c r="H52" s="43" t="s">
        <v>33</v>
      </c>
      <c r="I52" s="43" t="s">
        <v>20</v>
      </c>
      <c r="J52" s="43" t="s">
        <v>77</v>
      </c>
      <c r="K52" s="43" t="s">
        <v>13</v>
      </c>
      <c r="L52" s="4"/>
      <c r="M52" s="4"/>
      <c r="N52" s="4"/>
      <c r="O52" s="4"/>
      <c r="P52" s="4"/>
      <c r="Q52" s="4"/>
      <c r="R52" s="4"/>
    </row>
    <row r="53" spans="1:29" s="2" customFormat="1" x14ac:dyDescent="0.3">
      <c r="A53" s="43" t="s">
        <v>280</v>
      </c>
      <c r="B53" s="44">
        <v>46071</v>
      </c>
      <c r="C53" s="45">
        <v>1</v>
      </c>
      <c r="D53" s="45">
        <v>0</v>
      </c>
      <c r="E53" s="43" t="s">
        <v>153</v>
      </c>
      <c r="F53" s="64" t="s">
        <v>200</v>
      </c>
      <c r="G53" s="43" t="s">
        <v>55</v>
      </c>
      <c r="H53" s="43" t="s">
        <v>33</v>
      </c>
      <c r="I53" s="43" t="s">
        <v>20</v>
      </c>
      <c r="J53" s="43" t="s">
        <v>77</v>
      </c>
      <c r="K53" s="43" t="s">
        <v>13</v>
      </c>
      <c r="L53" s="4"/>
      <c r="M53" s="4"/>
      <c r="N53" s="4"/>
      <c r="O53" s="4"/>
      <c r="P53" s="4"/>
      <c r="Q53" s="4"/>
      <c r="R53" s="3"/>
      <c r="S53" s="3"/>
      <c r="T53" s="4"/>
      <c r="U53" s="4"/>
      <c r="V53" s="4"/>
      <c r="W53" s="4"/>
      <c r="X53" s="4"/>
      <c r="Y53" s="4"/>
      <c r="Z53" s="4"/>
      <c r="AA53" s="4"/>
      <c r="AB53" s="4"/>
      <c r="AC53" s="4"/>
    </row>
    <row r="54" spans="1:29" s="2" customFormat="1" x14ac:dyDescent="0.3">
      <c r="A54" s="43" t="s">
        <v>284</v>
      </c>
      <c r="B54" s="44">
        <v>46072</v>
      </c>
      <c r="C54" s="45">
        <v>1</v>
      </c>
      <c r="D54" s="45">
        <v>0</v>
      </c>
      <c r="E54" s="43" t="s">
        <v>285</v>
      </c>
      <c r="F54" s="64" t="s">
        <v>98</v>
      </c>
      <c r="G54" s="43" t="s">
        <v>55</v>
      </c>
      <c r="H54" s="43" t="s">
        <v>183</v>
      </c>
      <c r="I54" s="43" t="s">
        <v>20</v>
      </c>
      <c r="J54" s="43" t="s">
        <v>286</v>
      </c>
      <c r="K54" s="43" t="s">
        <v>287</v>
      </c>
      <c r="L54" s="4"/>
      <c r="M54" s="4"/>
      <c r="N54" s="4"/>
      <c r="O54" s="4"/>
      <c r="P54" s="4"/>
      <c r="Q54" s="4"/>
      <c r="R54" s="3"/>
      <c r="S54" s="3"/>
      <c r="T54" s="4"/>
      <c r="U54" s="4"/>
      <c r="V54" s="4"/>
      <c r="W54" s="4"/>
      <c r="X54" s="4"/>
      <c r="Y54" s="4"/>
      <c r="Z54" s="4"/>
      <c r="AA54" s="4"/>
      <c r="AB54" s="4"/>
      <c r="AC54" s="4"/>
    </row>
    <row r="55" spans="1:29" s="2" customFormat="1" x14ac:dyDescent="0.3">
      <c r="A55" s="43" t="s">
        <v>288</v>
      </c>
      <c r="B55" s="44">
        <v>46072</v>
      </c>
      <c r="C55" s="45">
        <v>1</v>
      </c>
      <c r="D55" s="45">
        <v>0</v>
      </c>
      <c r="E55" s="43" t="s">
        <v>40</v>
      </c>
      <c r="F55" s="64" t="s">
        <v>98</v>
      </c>
      <c r="G55" s="43" t="s">
        <v>55</v>
      </c>
      <c r="H55" s="43" t="s">
        <v>33</v>
      </c>
      <c r="I55" s="43" t="s">
        <v>20</v>
      </c>
      <c r="J55" s="43" t="s">
        <v>165</v>
      </c>
      <c r="K55" s="43" t="s">
        <v>13</v>
      </c>
      <c r="L55" s="4"/>
      <c r="M55" s="4"/>
      <c r="N55" s="4"/>
      <c r="O55" s="4"/>
      <c r="P55" s="4"/>
      <c r="Q55" s="4"/>
      <c r="R55" s="3"/>
      <c r="S55" s="3"/>
      <c r="T55" s="4"/>
      <c r="U55" s="4"/>
      <c r="V55" s="4"/>
      <c r="W55" s="4"/>
      <c r="X55" s="4"/>
      <c r="Y55" s="4"/>
      <c r="Z55" s="4"/>
      <c r="AA55" s="4"/>
      <c r="AB55" s="4"/>
      <c r="AC55" s="4"/>
    </row>
    <row r="56" spans="1:29" s="2" customFormat="1" x14ac:dyDescent="0.3">
      <c r="A56" s="43" t="s">
        <v>289</v>
      </c>
      <c r="B56" s="44">
        <v>46073</v>
      </c>
      <c r="C56" s="45">
        <v>1</v>
      </c>
      <c r="D56" s="45">
        <v>0</v>
      </c>
      <c r="E56" s="43" t="s">
        <v>214</v>
      </c>
      <c r="F56" s="64" t="s">
        <v>200</v>
      </c>
      <c r="G56" s="43" t="s">
        <v>55</v>
      </c>
      <c r="H56" s="43" t="s">
        <v>33</v>
      </c>
      <c r="I56" s="43" t="s">
        <v>20</v>
      </c>
      <c r="J56" s="43" t="s">
        <v>215</v>
      </c>
      <c r="K56" s="43" t="s">
        <v>290</v>
      </c>
      <c r="L56" s="4"/>
      <c r="M56" s="4"/>
      <c r="N56" s="4"/>
      <c r="O56" s="4"/>
      <c r="P56" s="4"/>
      <c r="Q56" s="4"/>
      <c r="R56" s="3"/>
      <c r="S56" s="3"/>
      <c r="T56" s="4"/>
      <c r="U56" s="4"/>
      <c r="V56" s="4"/>
      <c r="W56" s="4"/>
      <c r="X56" s="4"/>
      <c r="Y56" s="4"/>
      <c r="Z56" s="4"/>
      <c r="AA56" s="4"/>
      <c r="AB56" s="4"/>
      <c r="AC56" s="4"/>
    </row>
    <row r="57" spans="1:29" s="2" customFormat="1" x14ac:dyDescent="0.3">
      <c r="A57" s="43" t="s">
        <v>291</v>
      </c>
      <c r="B57" s="44">
        <v>46073</v>
      </c>
      <c r="C57" s="45">
        <v>1</v>
      </c>
      <c r="D57" s="45">
        <v>0</v>
      </c>
      <c r="E57" s="43" t="s">
        <v>292</v>
      </c>
      <c r="F57" s="64" t="s">
        <v>98</v>
      </c>
      <c r="G57" s="43" t="s">
        <v>55</v>
      </c>
      <c r="H57" s="43" t="s">
        <v>33</v>
      </c>
      <c r="I57" s="43" t="s">
        <v>20</v>
      </c>
      <c r="J57" s="43" t="s">
        <v>95</v>
      </c>
      <c r="K57" s="43" t="s">
        <v>13</v>
      </c>
      <c r="L57" s="4"/>
      <c r="M57" s="4"/>
      <c r="N57" s="4"/>
      <c r="O57" s="4"/>
      <c r="P57" s="4"/>
      <c r="Q57" s="4"/>
      <c r="R57" s="3"/>
      <c r="S57" s="3"/>
      <c r="T57" s="4"/>
      <c r="U57" s="4"/>
      <c r="V57" s="4"/>
      <c r="W57" s="4"/>
      <c r="X57" s="4"/>
      <c r="Y57" s="4"/>
      <c r="Z57" s="4"/>
      <c r="AA57" s="4"/>
      <c r="AB57" s="4"/>
      <c r="AC57" s="4"/>
    </row>
    <row r="58" spans="1:29" s="2" customFormat="1" x14ac:dyDescent="0.3">
      <c r="A58" s="43" t="s">
        <v>293</v>
      </c>
      <c r="B58" s="44">
        <v>46073</v>
      </c>
      <c r="C58" s="45">
        <v>1</v>
      </c>
      <c r="D58" s="45">
        <v>0</v>
      </c>
      <c r="E58" s="43" t="s">
        <v>294</v>
      </c>
      <c r="F58" s="64" t="s">
        <v>98</v>
      </c>
      <c r="G58" s="43" t="s">
        <v>55</v>
      </c>
      <c r="H58" s="43" t="s">
        <v>33</v>
      </c>
      <c r="I58" s="43" t="s">
        <v>20</v>
      </c>
      <c r="J58" s="43" t="s">
        <v>206</v>
      </c>
      <c r="K58" s="43" t="s">
        <v>24</v>
      </c>
      <c r="L58" s="4"/>
      <c r="M58" s="4"/>
      <c r="N58" s="4"/>
      <c r="O58" s="4"/>
      <c r="P58" s="4"/>
      <c r="Q58" s="4"/>
      <c r="R58" s="3"/>
      <c r="S58" s="3"/>
      <c r="T58" s="4"/>
      <c r="U58" s="4"/>
      <c r="V58" s="4"/>
      <c r="W58" s="4"/>
      <c r="X58" s="4"/>
      <c r="Y58" s="4"/>
      <c r="Z58" s="4"/>
      <c r="AA58" s="4"/>
      <c r="AB58" s="4"/>
      <c r="AC58" s="4"/>
    </row>
    <row r="59" spans="1:29" s="2" customFormat="1" hidden="1" x14ac:dyDescent="0.3">
      <c r="A59" s="70"/>
      <c r="B59" s="71"/>
      <c r="C59" s="72"/>
      <c r="D59" s="72"/>
      <c r="E59" s="70"/>
      <c r="F59" s="70"/>
      <c r="G59" s="70"/>
      <c r="H59" s="70"/>
      <c r="I59" s="70"/>
      <c r="J59" s="70"/>
      <c r="K59" s="70"/>
      <c r="L59" s="4"/>
      <c r="M59" s="4"/>
      <c r="N59" s="4"/>
      <c r="O59" s="4"/>
      <c r="P59" s="4"/>
      <c r="Q59" s="4"/>
      <c r="R59" s="3"/>
      <c r="S59" s="3"/>
      <c r="T59" s="4"/>
      <c r="U59" s="4"/>
      <c r="V59" s="4"/>
      <c r="W59" s="4"/>
      <c r="X59" s="4"/>
      <c r="Y59" s="4"/>
      <c r="Z59" s="4"/>
      <c r="AA59" s="4"/>
      <c r="AB59" s="4"/>
      <c r="AC59" s="4"/>
    </row>
    <row r="60" spans="1:29" s="2" customFormat="1" hidden="1" x14ac:dyDescent="0.3">
      <c r="A60" s="70"/>
      <c r="B60" s="71"/>
      <c r="C60" s="72"/>
      <c r="D60" s="72"/>
      <c r="E60" s="70"/>
      <c r="F60" s="70"/>
      <c r="G60" s="70"/>
      <c r="H60" s="70"/>
      <c r="I60" s="70"/>
      <c r="J60" s="70"/>
      <c r="K60" s="70"/>
      <c r="L60" s="4"/>
      <c r="M60" s="4"/>
      <c r="N60" s="4"/>
      <c r="O60" s="4"/>
      <c r="P60" s="4"/>
      <c r="Q60" s="4"/>
      <c r="R60" s="3"/>
      <c r="S60" s="3"/>
      <c r="T60" s="4"/>
      <c r="U60" s="4"/>
      <c r="V60" s="4"/>
      <c r="W60" s="4"/>
      <c r="X60" s="4"/>
      <c r="Y60" s="4"/>
      <c r="Z60" s="4"/>
      <c r="AA60" s="4"/>
      <c r="AB60" s="4"/>
      <c r="AC60" s="4"/>
    </row>
    <row r="61" spans="1:29" s="2" customFormat="1" ht="15" thickBot="1" x14ac:dyDescent="0.35">
      <c r="A61" s="70"/>
      <c r="B61" s="71"/>
      <c r="C61" s="72"/>
      <c r="D61" s="72"/>
      <c r="E61" s="70"/>
      <c r="F61" s="70"/>
      <c r="G61" s="70"/>
      <c r="H61" s="70"/>
      <c r="I61" s="70"/>
      <c r="J61" s="70"/>
      <c r="K61" s="70"/>
      <c r="L61" s="4"/>
      <c r="M61" s="4"/>
      <c r="N61" s="4"/>
      <c r="O61" s="4"/>
      <c r="P61" s="4"/>
      <c r="Q61" s="4"/>
      <c r="R61" s="3"/>
      <c r="S61" s="3"/>
      <c r="T61" s="4"/>
      <c r="U61" s="4"/>
      <c r="V61" s="4"/>
      <c r="W61" s="4"/>
      <c r="X61" s="4"/>
      <c r="Y61" s="4"/>
      <c r="Z61" s="4"/>
      <c r="AA61" s="4"/>
      <c r="AB61" s="4"/>
      <c r="AC61" s="4"/>
    </row>
    <row r="62" spans="1:29" ht="15" thickBot="1" x14ac:dyDescent="0.35">
      <c r="B62" s="38" t="s">
        <v>266</v>
      </c>
      <c r="C62" s="22">
        <v>11</v>
      </c>
    </row>
  </sheetData>
  <autoFilter ref="A3:J29" xr:uid="{6E392464-0CD5-4B6C-9B5A-A4EF4B03C567}"/>
  <conditionalFormatting sqref="F1:F34">
    <cfRule type="cellIs" dxfId="72" priority="23" operator="equal">
      <formula>"Non-Billable"</formula>
    </cfRule>
    <cfRule type="cellIs" dxfId="71" priority="24" operator="equal">
      <formula>"Billable"</formula>
    </cfRule>
  </conditionalFormatting>
  <conditionalFormatting sqref="F35">
    <cfRule type="cellIs" dxfId="70" priority="70" operator="equal">
      <formula>"Not Accepting Application"</formula>
    </cfRule>
    <cfRule type="cellIs" dxfId="69" priority="71" operator="equal">
      <formula>"Y"</formula>
    </cfRule>
  </conditionalFormatting>
  <conditionalFormatting sqref="F37:F1048576">
    <cfRule type="cellIs" dxfId="68" priority="1" operator="equal">
      <formula>"Non-Billable"</formula>
    </cfRule>
    <cfRule type="cellIs" dxfId="67" priority="2" operator="equal">
      <formula>"Billable"</formula>
    </cfRule>
  </conditionalFormatting>
  <conditionalFormatting sqref="H1:H2 H4:H34 F35 H36:H38 H40:H48 H53:H1048576">
    <cfRule type="cellIs" dxfId="66" priority="68" operator="equal">
      <formula>"Not accpeting applications"</formula>
    </cfRule>
  </conditionalFormatting>
  <conditionalFormatting sqref="H1:H2 H4:H34 H36:H38 H40:H48 V50:V52 AG53:AG62 H53:H1048576">
    <cfRule type="cellIs" dxfId="65" priority="66" operator="equal">
      <formula>"Not Accepting Applications"</formula>
    </cfRule>
  </conditionalFormatting>
  <conditionalFormatting sqref="H4:H34">
    <cfRule type="cellIs" dxfId="64" priority="69" operator="equal">
      <formula>"Accepting Applications"</formula>
    </cfRule>
  </conditionalFormatting>
  <conditionalFormatting sqref="H40:H43">
    <cfRule type="cellIs" dxfId="63" priority="72" operator="equal">
      <formula>"Not Accepting Application"</formula>
    </cfRule>
    <cfRule type="cellIs" dxfId="62" priority="73" operator="equal">
      <formula>"Accepting Applications"</formula>
    </cfRule>
    <cfRule type="cellIs" dxfId="61" priority="74" operator="equal">
      <formula>"Y"</formula>
    </cfRule>
  </conditionalFormatting>
  <conditionalFormatting sqref="I1:I34 F35:G35 I37:I1048576">
    <cfRule type="cellIs" dxfId="60" priority="64" operator="equal">
      <formula>"Accepting Applications"</formula>
    </cfRule>
    <cfRule type="cellIs" dxfId="59" priority="65" operator="equal">
      <formula>"Not Accepting Applications"</formula>
    </cfRule>
  </conditionalFormatting>
  <conditionalFormatting sqref="I1:I34 G35 I37:I1048576">
    <cfRule type="cellIs" dxfId="58" priority="63" operator="equal">
      <formula>"Pending"</formula>
    </cfRule>
  </conditionalFormatting>
  <pageMargins left="0.7" right="0.7" top="0.75" bottom="0.75" header="0.3" footer="0.3"/>
  <pageSetup orientation="landscape" horizontalDpi="4294967295" verticalDpi="4294967295"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0BAEE-7DE3-4497-B78C-4A305D95E8B2}">
  <sheetPr>
    <tabColor theme="2" tint="-0.249977111117893"/>
  </sheetPr>
  <dimension ref="A1:AC58"/>
  <sheetViews>
    <sheetView showGridLines="0" topLeftCell="A29" zoomScale="90" zoomScaleNormal="90" workbookViewId="0">
      <selection activeCell="F9" sqref="F9"/>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0.33333333333333331</v>
      </c>
      <c r="B1" s="37">
        <v>46072</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64" t="s">
        <v>122</v>
      </c>
      <c r="B4" s="65">
        <v>46071</v>
      </c>
      <c r="C4" s="66">
        <v>2</v>
      </c>
      <c r="D4" s="66">
        <v>1</v>
      </c>
      <c r="E4" s="64" t="s">
        <v>236</v>
      </c>
      <c r="F4" s="64" t="s">
        <v>98</v>
      </c>
      <c r="G4" s="64" t="s">
        <v>7</v>
      </c>
      <c r="H4" s="64" t="s">
        <v>18</v>
      </c>
      <c r="I4" s="64" t="s">
        <v>56</v>
      </c>
      <c r="J4" s="64" t="s">
        <v>121</v>
      </c>
      <c r="K4" s="64" t="s">
        <v>13</v>
      </c>
      <c r="AB4" s="2" t="s">
        <v>10</v>
      </c>
      <c r="AC4" s="2" t="s">
        <v>11</v>
      </c>
    </row>
    <row r="5" spans="1:29" s="2" customFormat="1" x14ac:dyDescent="0.3">
      <c r="A5" s="64" t="s">
        <v>128</v>
      </c>
      <c r="B5" s="65">
        <v>46035</v>
      </c>
      <c r="C5" s="66">
        <v>1</v>
      </c>
      <c r="D5" s="66">
        <v>0</v>
      </c>
      <c r="E5" s="64" t="s">
        <v>129</v>
      </c>
      <c r="F5" s="64" t="s">
        <v>200</v>
      </c>
      <c r="G5" s="64" t="s">
        <v>7</v>
      </c>
      <c r="H5" s="64" t="s">
        <v>64</v>
      </c>
      <c r="I5" s="64" t="s">
        <v>9</v>
      </c>
      <c r="J5" s="64" t="s">
        <v>65</v>
      </c>
      <c r="K5" s="64" t="s">
        <v>48</v>
      </c>
      <c r="AB5" s="2" t="s">
        <v>14</v>
      </c>
      <c r="AC5" s="2">
        <v>17</v>
      </c>
    </row>
    <row r="6" spans="1:29" s="2" customFormat="1" x14ac:dyDescent="0.3">
      <c r="A6" s="64" t="s">
        <v>152</v>
      </c>
      <c r="B6" s="65">
        <v>46006</v>
      </c>
      <c r="C6" s="66">
        <v>1</v>
      </c>
      <c r="D6" s="66">
        <v>0</v>
      </c>
      <c r="E6" s="64" t="s">
        <v>153</v>
      </c>
      <c r="F6" s="64" t="s">
        <v>200</v>
      </c>
      <c r="G6" s="64" t="s">
        <v>7</v>
      </c>
      <c r="H6" s="64" t="s">
        <v>33</v>
      </c>
      <c r="I6" s="64" t="s">
        <v>20</v>
      </c>
      <c r="J6" s="64" t="s">
        <v>77</v>
      </c>
      <c r="K6" s="64" t="s">
        <v>13</v>
      </c>
      <c r="N6" s="10"/>
      <c r="AB6" s="2" t="s">
        <v>15</v>
      </c>
      <c r="AC6" s="2">
        <v>3</v>
      </c>
    </row>
    <row r="7" spans="1:29" s="2" customFormat="1" x14ac:dyDescent="0.3">
      <c r="A7" s="64" t="s">
        <v>157</v>
      </c>
      <c r="B7" s="65">
        <v>46063</v>
      </c>
      <c r="C7" s="66">
        <v>1</v>
      </c>
      <c r="D7" s="66">
        <v>0</v>
      </c>
      <c r="E7" s="64" t="s">
        <v>158</v>
      </c>
      <c r="F7" s="64" t="s">
        <v>98</v>
      </c>
      <c r="G7" s="64" t="s">
        <v>7</v>
      </c>
      <c r="H7" s="64" t="s">
        <v>17</v>
      </c>
      <c r="I7" s="64" t="s">
        <v>9</v>
      </c>
      <c r="J7" s="64" t="s">
        <v>159</v>
      </c>
      <c r="K7" s="64" t="s">
        <v>28</v>
      </c>
      <c r="N7" s="10"/>
      <c r="V7" s="11"/>
      <c r="AB7" s="2" t="s">
        <v>16</v>
      </c>
      <c r="AC7" s="2">
        <v>4</v>
      </c>
    </row>
    <row r="8" spans="1:29" s="2" customFormat="1" x14ac:dyDescent="0.3">
      <c r="A8" s="64" t="s">
        <v>162</v>
      </c>
      <c r="B8" s="65">
        <v>46019</v>
      </c>
      <c r="C8" s="66">
        <v>1</v>
      </c>
      <c r="D8" s="66">
        <v>0</v>
      </c>
      <c r="E8" s="64" t="s">
        <v>166</v>
      </c>
      <c r="F8" s="64" t="s">
        <v>200</v>
      </c>
      <c r="G8" s="64" t="s">
        <v>7</v>
      </c>
      <c r="H8" s="64" t="s">
        <v>33</v>
      </c>
      <c r="I8" s="64" t="s">
        <v>20</v>
      </c>
      <c r="J8" s="64" t="s">
        <v>166</v>
      </c>
      <c r="K8" s="64" t="s">
        <v>13</v>
      </c>
      <c r="N8" s="10"/>
    </row>
    <row r="9" spans="1:29" s="2" customFormat="1" x14ac:dyDescent="0.3">
      <c r="A9" s="64" t="s">
        <v>163</v>
      </c>
      <c r="B9" s="65">
        <v>46069</v>
      </c>
      <c r="C9" s="66">
        <v>1</v>
      </c>
      <c r="D9" s="66">
        <v>0</v>
      </c>
      <c r="E9" s="64" t="s">
        <v>164</v>
      </c>
      <c r="F9" s="64" t="s">
        <v>98</v>
      </c>
      <c r="G9" s="64" t="s">
        <v>7</v>
      </c>
      <c r="H9" s="64" t="s">
        <v>18</v>
      </c>
      <c r="I9" s="64" t="s">
        <v>56</v>
      </c>
      <c r="J9" s="64" t="s">
        <v>165</v>
      </c>
      <c r="K9" s="64" t="s">
        <v>13</v>
      </c>
    </row>
    <row r="10" spans="1:29" s="2" customFormat="1" x14ac:dyDescent="0.3">
      <c r="A10" s="64" t="s">
        <v>202</v>
      </c>
      <c r="B10" s="65">
        <v>46063</v>
      </c>
      <c r="C10" s="66">
        <v>1</v>
      </c>
      <c r="D10" s="66">
        <v>0</v>
      </c>
      <c r="E10" s="64" t="s">
        <v>54</v>
      </c>
      <c r="F10" s="64" t="s">
        <v>98</v>
      </c>
      <c r="G10" s="64" t="s">
        <v>7</v>
      </c>
      <c r="H10" s="64" t="s">
        <v>183</v>
      </c>
      <c r="I10" s="64" t="s">
        <v>9</v>
      </c>
      <c r="J10" s="64" t="s">
        <v>203</v>
      </c>
      <c r="K10" s="64" t="s">
        <v>19</v>
      </c>
    </row>
    <row r="11" spans="1:29" s="2" customFormat="1" x14ac:dyDescent="0.3">
      <c r="A11" s="64" t="s">
        <v>204</v>
      </c>
      <c r="B11" s="65">
        <v>46063</v>
      </c>
      <c r="C11" s="66">
        <v>1</v>
      </c>
      <c r="D11" s="66">
        <v>0</v>
      </c>
      <c r="E11" s="64" t="s">
        <v>205</v>
      </c>
      <c r="F11" s="64" t="s">
        <v>98</v>
      </c>
      <c r="G11" s="64" t="s">
        <v>7</v>
      </c>
      <c r="H11" s="64" t="s">
        <v>17</v>
      </c>
      <c r="I11" s="64" t="s">
        <v>9</v>
      </c>
      <c r="J11" s="64" t="s">
        <v>206</v>
      </c>
      <c r="K11" s="64" t="s">
        <v>13</v>
      </c>
    </row>
    <row r="12" spans="1:29" s="2" customFormat="1" x14ac:dyDescent="0.3">
      <c r="A12" s="64" t="s">
        <v>209</v>
      </c>
      <c r="B12" s="65">
        <v>46063</v>
      </c>
      <c r="C12" s="66">
        <v>1</v>
      </c>
      <c r="D12" s="66">
        <v>0</v>
      </c>
      <c r="E12" s="64" t="s">
        <v>210</v>
      </c>
      <c r="F12" s="64" t="s">
        <v>98</v>
      </c>
      <c r="G12" s="64" t="s">
        <v>7</v>
      </c>
      <c r="H12" s="64" t="s">
        <v>17</v>
      </c>
      <c r="I12" s="64" t="s">
        <v>9</v>
      </c>
      <c r="J12" s="64" t="s">
        <v>206</v>
      </c>
      <c r="K12" s="64" t="s">
        <v>13</v>
      </c>
    </row>
    <row r="13" spans="1:29" s="2" customFormat="1" x14ac:dyDescent="0.3">
      <c r="A13" s="64" t="s">
        <v>217</v>
      </c>
      <c r="B13" s="65">
        <v>46051</v>
      </c>
      <c r="C13" s="66">
        <v>1</v>
      </c>
      <c r="D13" s="66">
        <v>0</v>
      </c>
      <c r="E13" s="64" t="s">
        <v>218</v>
      </c>
      <c r="F13" s="64" t="s">
        <v>200</v>
      </c>
      <c r="G13" s="64" t="s">
        <v>7</v>
      </c>
      <c r="H13" s="64" t="s">
        <v>148</v>
      </c>
      <c r="I13" s="64" t="s">
        <v>9</v>
      </c>
      <c r="J13" s="64" t="s">
        <v>121</v>
      </c>
      <c r="K13" s="64" t="s">
        <v>13</v>
      </c>
    </row>
    <row r="14" spans="1:29" s="2" customFormat="1" x14ac:dyDescent="0.3">
      <c r="A14" s="64" t="s">
        <v>221</v>
      </c>
      <c r="B14" s="65">
        <v>46050</v>
      </c>
      <c r="C14" s="66">
        <v>2</v>
      </c>
      <c r="D14" s="66">
        <v>0</v>
      </c>
      <c r="E14" s="64" t="s">
        <v>201</v>
      </c>
      <c r="F14" s="64" t="s">
        <v>200</v>
      </c>
      <c r="G14" s="64" t="s">
        <v>7</v>
      </c>
      <c r="H14" s="64" t="s">
        <v>47</v>
      </c>
      <c r="I14" s="64" t="s">
        <v>9</v>
      </c>
      <c r="J14" s="64" t="s">
        <v>105</v>
      </c>
      <c r="K14" s="64" t="s">
        <v>43</v>
      </c>
    </row>
    <row r="15" spans="1:29" s="2" customFormat="1" x14ac:dyDescent="0.3">
      <c r="A15" s="64" t="s">
        <v>222</v>
      </c>
      <c r="B15" s="65">
        <v>46065</v>
      </c>
      <c r="C15" s="66">
        <v>1</v>
      </c>
      <c r="D15" s="66">
        <v>0</v>
      </c>
      <c r="E15" s="64" t="s">
        <v>223</v>
      </c>
      <c r="F15" s="64" t="s">
        <v>200</v>
      </c>
      <c r="G15" s="64" t="s">
        <v>7</v>
      </c>
      <c r="H15" s="64" t="s">
        <v>18</v>
      </c>
      <c r="I15" s="64" t="s">
        <v>56</v>
      </c>
      <c r="J15" s="64" t="s">
        <v>180</v>
      </c>
      <c r="K15" s="64" t="s">
        <v>13</v>
      </c>
    </row>
    <row r="16" spans="1:29" s="2" customFormat="1" x14ac:dyDescent="0.3">
      <c r="A16" s="64" t="s">
        <v>224</v>
      </c>
      <c r="B16" s="65">
        <v>46069</v>
      </c>
      <c r="C16" s="66">
        <v>1</v>
      </c>
      <c r="D16" s="66">
        <v>0</v>
      </c>
      <c r="E16" s="64" t="s">
        <v>225</v>
      </c>
      <c r="F16" s="64" t="s">
        <v>200</v>
      </c>
      <c r="G16" s="64" t="s">
        <v>7</v>
      </c>
      <c r="H16" s="64" t="s">
        <v>18</v>
      </c>
      <c r="I16" s="64" t="s">
        <v>56</v>
      </c>
      <c r="J16" s="64" t="s">
        <v>180</v>
      </c>
      <c r="K16" s="64" t="s">
        <v>13</v>
      </c>
    </row>
    <row r="17" spans="1:11" s="2" customFormat="1" x14ac:dyDescent="0.3">
      <c r="A17" s="64" t="s">
        <v>226</v>
      </c>
      <c r="B17" s="65">
        <v>46069</v>
      </c>
      <c r="C17" s="66">
        <v>2</v>
      </c>
      <c r="D17" s="66">
        <v>0</v>
      </c>
      <c r="E17" s="64" t="s">
        <v>227</v>
      </c>
      <c r="F17" s="64" t="s">
        <v>200</v>
      </c>
      <c r="G17" s="64" t="s">
        <v>7</v>
      </c>
      <c r="H17" s="64" t="s">
        <v>18</v>
      </c>
      <c r="I17" s="64" t="s">
        <v>56</v>
      </c>
      <c r="J17" s="64" t="s">
        <v>180</v>
      </c>
      <c r="K17" s="64" t="s">
        <v>13</v>
      </c>
    </row>
    <row r="18" spans="1:11" s="2" customFormat="1" x14ac:dyDescent="0.3">
      <c r="A18" s="64" t="s">
        <v>228</v>
      </c>
      <c r="B18" s="65">
        <v>46045</v>
      </c>
      <c r="C18" s="66">
        <v>1</v>
      </c>
      <c r="D18" s="66">
        <v>0</v>
      </c>
      <c r="E18" s="64" t="s">
        <v>30</v>
      </c>
      <c r="F18" s="64" t="s">
        <v>200</v>
      </c>
      <c r="G18" s="64" t="s">
        <v>7</v>
      </c>
      <c r="H18" s="64" t="s">
        <v>8</v>
      </c>
      <c r="I18" s="64" t="s">
        <v>9</v>
      </c>
      <c r="J18" s="64" t="s">
        <v>12</v>
      </c>
      <c r="K18" s="64" t="s">
        <v>24</v>
      </c>
    </row>
    <row r="19" spans="1:11" s="2" customFormat="1" ht="15" customHeight="1" x14ac:dyDescent="0.3">
      <c r="A19" s="64" t="s">
        <v>229</v>
      </c>
      <c r="B19" s="65">
        <v>46065</v>
      </c>
      <c r="C19" s="66">
        <v>3</v>
      </c>
      <c r="D19" s="66">
        <v>2</v>
      </c>
      <c r="E19" s="64" t="s">
        <v>45</v>
      </c>
      <c r="F19" s="64" t="s">
        <v>200</v>
      </c>
      <c r="G19" s="64" t="s">
        <v>7</v>
      </c>
      <c r="H19" s="64" t="s">
        <v>272</v>
      </c>
      <c r="I19" s="64" t="s">
        <v>20</v>
      </c>
      <c r="J19" s="64" t="s">
        <v>121</v>
      </c>
      <c r="K19" s="64" t="s">
        <v>13</v>
      </c>
    </row>
    <row r="20" spans="1:11" s="2" customFormat="1" ht="13.95" customHeight="1" x14ac:dyDescent="0.3">
      <c r="A20" s="64" t="s">
        <v>230</v>
      </c>
      <c r="B20" s="65">
        <v>46065</v>
      </c>
      <c r="C20" s="66">
        <v>1</v>
      </c>
      <c r="D20" s="66">
        <v>0</v>
      </c>
      <c r="E20" s="64" t="s">
        <v>263</v>
      </c>
      <c r="F20" s="64" t="s">
        <v>200</v>
      </c>
      <c r="G20" s="64" t="s">
        <v>7</v>
      </c>
      <c r="H20" s="64" t="s">
        <v>274</v>
      </c>
      <c r="I20" s="64" t="s">
        <v>9</v>
      </c>
      <c r="J20" s="64" t="s">
        <v>12</v>
      </c>
      <c r="K20" s="64" t="s">
        <v>24</v>
      </c>
    </row>
    <row r="21" spans="1:11" s="2" customFormat="1" x14ac:dyDescent="0.3">
      <c r="A21" s="64" t="s">
        <v>233</v>
      </c>
      <c r="B21" s="65">
        <v>46050</v>
      </c>
      <c r="C21" s="66">
        <v>3</v>
      </c>
      <c r="D21" s="66">
        <v>0</v>
      </c>
      <c r="E21" s="64" t="s">
        <v>63</v>
      </c>
      <c r="F21" s="64" t="s">
        <v>200</v>
      </c>
      <c r="G21" s="64" t="s">
        <v>7</v>
      </c>
      <c r="H21" s="64" t="s">
        <v>33</v>
      </c>
      <c r="I21" s="64" t="s">
        <v>20</v>
      </c>
      <c r="J21" s="64" t="s">
        <v>65</v>
      </c>
      <c r="K21" s="64" t="s">
        <v>48</v>
      </c>
    </row>
    <row r="22" spans="1:11" s="2" customFormat="1" x14ac:dyDescent="0.3">
      <c r="A22" s="64" t="s">
        <v>234</v>
      </c>
      <c r="B22" s="65">
        <v>46056</v>
      </c>
      <c r="C22" s="66">
        <v>30</v>
      </c>
      <c r="D22" s="66">
        <v>0</v>
      </c>
      <c r="E22" s="64" t="s">
        <v>45</v>
      </c>
      <c r="F22" s="64" t="s">
        <v>200</v>
      </c>
      <c r="G22" s="64" t="s">
        <v>7</v>
      </c>
      <c r="H22" s="64" t="s">
        <v>259</v>
      </c>
      <c r="I22" s="64" t="s">
        <v>20</v>
      </c>
      <c r="J22" s="64" t="s">
        <v>49</v>
      </c>
      <c r="K22" s="64" t="s">
        <v>91</v>
      </c>
    </row>
    <row r="23" spans="1:11" s="2" customFormat="1" x14ac:dyDescent="0.3">
      <c r="A23" s="64" t="s">
        <v>251</v>
      </c>
      <c r="B23" s="65">
        <v>46063</v>
      </c>
      <c r="C23" s="66">
        <v>1</v>
      </c>
      <c r="D23" s="66">
        <v>0</v>
      </c>
      <c r="E23" s="64" t="s">
        <v>193</v>
      </c>
      <c r="F23" s="64" t="s">
        <v>98</v>
      </c>
      <c r="G23" s="64" t="s">
        <v>7</v>
      </c>
      <c r="H23" s="64" t="s">
        <v>148</v>
      </c>
      <c r="I23" s="64" t="s">
        <v>9</v>
      </c>
      <c r="J23" s="64" t="s">
        <v>252</v>
      </c>
      <c r="K23" s="64" t="s">
        <v>48</v>
      </c>
    </row>
    <row r="24" spans="1:11" s="2" customFormat="1" ht="15" customHeight="1" x14ac:dyDescent="0.3">
      <c r="A24" s="64" t="s">
        <v>241</v>
      </c>
      <c r="B24" s="65">
        <v>46069</v>
      </c>
      <c r="C24" s="66">
        <v>1</v>
      </c>
      <c r="D24" s="66">
        <v>0</v>
      </c>
      <c r="E24" s="64" t="s">
        <v>147</v>
      </c>
      <c r="F24" s="64" t="s">
        <v>98</v>
      </c>
      <c r="G24" s="64" t="s">
        <v>7</v>
      </c>
      <c r="H24" s="64" t="s">
        <v>18</v>
      </c>
      <c r="I24" s="64" t="s">
        <v>56</v>
      </c>
      <c r="J24" s="64" t="s">
        <v>149</v>
      </c>
      <c r="K24" s="64" t="s">
        <v>242</v>
      </c>
    </row>
    <row r="25" spans="1:11" s="2" customFormat="1" x14ac:dyDescent="0.3">
      <c r="A25" s="64" t="s">
        <v>246</v>
      </c>
      <c r="B25" s="65">
        <v>46055</v>
      </c>
      <c r="C25" s="66">
        <v>1</v>
      </c>
      <c r="D25" s="66">
        <v>0</v>
      </c>
      <c r="E25" s="64" t="s">
        <v>232</v>
      </c>
      <c r="F25" s="64" t="s">
        <v>200</v>
      </c>
      <c r="G25" s="64" t="s">
        <v>7</v>
      </c>
      <c r="H25" s="64" t="s">
        <v>33</v>
      </c>
      <c r="I25" s="64" t="s">
        <v>20</v>
      </c>
      <c r="J25" s="64" t="s">
        <v>65</v>
      </c>
      <c r="K25" s="64" t="s">
        <v>48</v>
      </c>
    </row>
    <row r="26" spans="1:11" s="2" customFormat="1" x14ac:dyDescent="0.3">
      <c r="A26" s="64" t="s">
        <v>247</v>
      </c>
      <c r="B26" s="65">
        <v>46056</v>
      </c>
      <c r="C26" s="66">
        <v>1</v>
      </c>
      <c r="D26" s="66">
        <v>0</v>
      </c>
      <c r="E26" s="64" t="s">
        <v>120</v>
      </c>
      <c r="F26" s="64" t="s">
        <v>200</v>
      </c>
      <c r="G26" s="64" t="s">
        <v>7</v>
      </c>
      <c r="H26" s="64" t="s">
        <v>260</v>
      </c>
      <c r="I26" s="64" t="s">
        <v>9</v>
      </c>
      <c r="J26" s="64" t="s">
        <v>248</v>
      </c>
      <c r="K26" s="64" t="s">
        <v>43</v>
      </c>
    </row>
    <row r="27" spans="1:11" s="2" customFormat="1" x14ac:dyDescent="0.3">
      <c r="A27" s="64" t="s">
        <v>249</v>
      </c>
      <c r="B27" s="65">
        <v>46055</v>
      </c>
      <c r="C27" s="66">
        <v>2</v>
      </c>
      <c r="D27" s="66">
        <v>0</v>
      </c>
      <c r="E27" s="64" t="s">
        <v>45</v>
      </c>
      <c r="F27" s="64" t="s">
        <v>200</v>
      </c>
      <c r="G27" s="64" t="s">
        <v>7</v>
      </c>
      <c r="H27" s="64" t="s">
        <v>139</v>
      </c>
      <c r="I27" s="64" t="s">
        <v>20</v>
      </c>
      <c r="J27" s="64" t="s">
        <v>33</v>
      </c>
      <c r="K27" s="64" t="s">
        <v>250</v>
      </c>
    </row>
    <row r="28" spans="1:11" s="2" customFormat="1" x14ac:dyDescent="0.3">
      <c r="A28" s="64" t="s">
        <v>253</v>
      </c>
      <c r="B28" s="65">
        <v>46069</v>
      </c>
      <c r="C28" s="66">
        <v>1</v>
      </c>
      <c r="D28" s="66">
        <v>0</v>
      </c>
      <c r="E28" s="64" t="s">
        <v>244</v>
      </c>
      <c r="F28" s="64" t="s">
        <v>98</v>
      </c>
      <c r="G28" s="64" t="s">
        <v>7</v>
      </c>
      <c r="H28" s="64" t="s">
        <v>33</v>
      </c>
      <c r="I28" s="64" t="s">
        <v>20</v>
      </c>
      <c r="J28" s="64" t="s">
        <v>103</v>
      </c>
      <c r="K28" s="64" t="s">
        <v>21</v>
      </c>
    </row>
    <row r="29" spans="1:11" s="2" customFormat="1" x14ac:dyDescent="0.3">
      <c r="A29" s="64" t="s">
        <v>254</v>
      </c>
      <c r="B29" s="65">
        <v>46069</v>
      </c>
      <c r="C29" s="66">
        <v>1</v>
      </c>
      <c r="D29" s="66">
        <v>0</v>
      </c>
      <c r="E29" s="64" t="s">
        <v>101</v>
      </c>
      <c r="F29" s="64" t="s">
        <v>98</v>
      </c>
      <c r="G29" s="64" t="s">
        <v>7</v>
      </c>
      <c r="H29" s="64" t="s">
        <v>33</v>
      </c>
      <c r="I29" s="64" t="s">
        <v>20</v>
      </c>
      <c r="J29" s="64" t="s">
        <v>103</v>
      </c>
      <c r="K29" s="64" t="s">
        <v>21</v>
      </c>
    </row>
    <row r="30" spans="1:11" s="2" customFormat="1" ht="13.95" customHeight="1" x14ac:dyDescent="0.3">
      <c r="A30" s="64" t="s">
        <v>261</v>
      </c>
      <c r="B30" s="65">
        <v>46066</v>
      </c>
      <c r="C30" s="66">
        <v>1</v>
      </c>
      <c r="D30" s="66">
        <v>0</v>
      </c>
      <c r="E30" s="64" t="s">
        <v>262</v>
      </c>
      <c r="F30" s="64" t="s">
        <v>98</v>
      </c>
      <c r="G30" s="64" t="s">
        <v>7</v>
      </c>
      <c r="H30" s="64" t="s">
        <v>183</v>
      </c>
      <c r="I30" s="64" t="s">
        <v>9</v>
      </c>
      <c r="J30" s="64" t="s">
        <v>191</v>
      </c>
      <c r="K30" s="64" t="s">
        <v>13</v>
      </c>
    </row>
    <row r="31" spans="1:11" s="2" customFormat="1" ht="14.25" customHeight="1" x14ac:dyDescent="0.3">
      <c r="A31" s="64" t="s">
        <v>264</v>
      </c>
      <c r="B31" s="65">
        <v>46069</v>
      </c>
      <c r="C31" s="66">
        <v>1</v>
      </c>
      <c r="D31" s="66">
        <v>0</v>
      </c>
      <c r="E31" s="64" t="s">
        <v>29</v>
      </c>
      <c r="F31" s="64" t="s">
        <v>98</v>
      </c>
      <c r="G31" s="64" t="s">
        <v>7</v>
      </c>
      <c r="H31" s="64" t="s">
        <v>33</v>
      </c>
      <c r="I31" s="64" t="s">
        <v>20</v>
      </c>
      <c r="J31" s="64" t="s">
        <v>65</v>
      </c>
      <c r="K31" s="64" t="s">
        <v>48</v>
      </c>
    </row>
    <row r="32" spans="1:11" s="2" customFormat="1" ht="14.25" customHeight="1" x14ac:dyDescent="0.3">
      <c r="A32" s="64" t="s">
        <v>265</v>
      </c>
      <c r="B32" s="65">
        <v>46069</v>
      </c>
      <c r="C32" s="66">
        <v>1</v>
      </c>
      <c r="D32" s="66">
        <v>0</v>
      </c>
      <c r="E32" s="64" t="s">
        <v>29</v>
      </c>
      <c r="F32" s="64" t="s">
        <v>98</v>
      </c>
      <c r="G32" s="64" t="s">
        <v>7</v>
      </c>
      <c r="H32" s="64" t="s">
        <v>33</v>
      </c>
      <c r="I32" s="64" t="s">
        <v>20</v>
      </c>
      <c r="J32" s="64" t="s">
        <v>65</v>
      </c>
      <c r="K32" s="64" t="s">
        <v>48</v>
      </c>
    </row>
    <row r="33" spans="1:19" s="2" customFormat="1" ht="14.25" customHeight="1" x14ac:dyDescent="0.3">
      <c r="A33" s="64" t="s">
        <v>267</v>
      </c>
      <c r="B33" s="65">
        <v>46070</v>
      </c>
      <c r="C33" s="66">
        <v>1</v>
      </c>
      <c r="D33" s="66">
        <v>0</v>
      </c>
      <c r="E33" s="64" t="s">
        <v>268</v>
      </c>
      <c r="F33" s="64" t="s">
        <v>98</v>
      </c>
      <c r="G33" s="64" t="s">
        <v>7</v>
      </c>
      <c r="H33" s="64" t="s">
        <v>27</v>
      </c>
      <c r="I33" s="64" t="s">
        <v>20</v>
      </c>
      <c r="J33" s="64" t="s">
        <v>269</v>
      </c>
      <c r="K33" s="64" t="s">
        <v>22</v>
      </c>
    </row>
    <row r="34" spans="1:19" s="2" customFormat="1" ht="14.25" customHeight="1" x14ac:dyDescent="0.3">
      <c r="A34" s="64" t="s">
        <v>270</v>
      </c>
      <c r="B34" s="65">
        <v>46069</v>
      </c>
      <c r="C34" s="66">
        <v>1</v>
      </c>
      <c r="D34" s="66">
        <v>0</v>
      </c>
      <c r="E34" s="64" t="s">
        <v>25</v>
      </c>
      <c r="F34" s="64" t="s">
        <v>200</v>
      </c>
      <c r="G34" s="64" t="s">
        <v>7</v>
      </c>
      <c r="H34" s="64" t="s">
        <v>64</v>
      </c>
      <c r="I34" s="64" t="s">
        <v>9</v>
      </c>
      <c r="J34" s="64" t="s">
        <v>271</v>
      </c>
      <c r="K34" s="64" t="s">
        <v>43</v>
      </c>
    </row>
    <row r="35" spans="1:19" ht="15" thickBot="1" x14ac:dyDescent="0.35">
      <c r="A35" s="40"/>
      <c r="B35" s="41"/>
      <c r="C35" s="42"/>
      <c r="D35" s="42"/>
      <c r="E35" s="40"/>
      <c r="F35" s="40"/>
      <c r="G35" s="40"/>
      <c r="H35" s="40"/>
      <c r="I35" s="40"/>
      <c r="J35" s="40"/>
      <c r="K35" s="40"/>
      <c r="P35" s="3"/>
      <c r="Q35" s="3"/>
      <c r="R35" s="4"/>
      <c r="S35" s="4"/>
    </row>
    <row r="36" spans="1:19" ht="15" thickBot="1" x14ac:dyDescent="0.35">
      <c r="B36" s="34" t="s">
        <v>31</v>
      </c>
      <c r="C36" s="12">
        <f>SUM(C4:C34)-SUM(D4:D34)</f>
        <v>65</v>
      </c>
      <c r="D36" s="29"/>
      <c r="F36" s="35" t="s">
        <v>57</v>
      </c>
      <c r="G36" s="36">
        <f>COUNTIF(I4:I34,"Pending")</f>
        <v>6</v>
      </c>
      <c r="I36" s="38" t="s">
        <v>58</v>
      </c>
      <c r="J36" s="39">
        <f>C36-G36</f>
        <v>59</v>
      </c>
    </row>
    <row r="37" spans="1:19" x14ac:dyDescent="0.3">
      <c r="G37" s="3"/>
      <c r="H37" s="4"/>
      <c r="I37" s="3"/>
    </row>
    <row r="38" spans="1:19" hidden="1" x14ac:dyDescent="0.3">
      <c r="D38" s="13"/>
    </row>
    <row r="39" spans="1:19" s="6" customFormat="1" ht="28.8" x14ac:dyDescent="0.3">
      <c r="A39" s="28" t="s">
        <v>0</v>
      </c>
      <c r="B39" s="28" t="s">
        <v>1</v>
      </c>
      <c r="C39" s="28" t="s">
        <v>2</v>
      </c>
      <c r="D39" s="28" t="s">
        <v>3</v>
      </c>
      <c r="E39" s="28" t="s">
        <v>4</v>
      </c>
      <c r="F39" s="28" t="s">
        <v>51</v>
      </c>
      <c r="G39" s="28" t="s">
        <v>52</v>
      </c>
      <c r="H39" s="28" t="s">
        <v>5</v>
      </c>
      <c r="I39" s="28" t="s">
        <v>53</v>
      </c>
      <c r="J39" s="28" t="s">
        <v>27</v>
      </c>
      <c r="K39" s="28" t="s">
        <v>6</v>
      </c>
    </row>
    <row r="40" spans="1:19" s="14" customFormat="1" x14ac:dyDescent="0.3">
      <c r="A40" s="64" t="s">
        <v>74</v>
      </c>
      <c r="B40" s="65">
        <v>46056</v>
      </c>
      <c r="C40" s="66">
        <v>1</v>
      </c>
      <c r="D40" s="66">
        <v>0</v>
      </c>
      <c r="E40" s="64" t="s">
        <v>75</v>
      </c>
      <c r="F40" s="64" t="s">
        <v>98</v>
      </c>
      <c r="G40" s="64" t="s">
        <v>32</v>
      </c>
      <c r="H40" s="64" t="s">
        <v>76</v>
      </c>
      <c r="I40" s="64" t="s">
        <v>20</v>
      </c>
      <c r="J40" s="64" t="s">
        <v>77</v>
      </c>
      <c r="K40" s="64" t="s">
        <v>13</v>
      </c>
    </row>
    <row r="41" spans="1:19" s="14" customFormat="1" x14ac:dyDescent="0.3">
      <c r="A41" s="64" t="s">
        <v>170</v>
      </c>
      <c r="B41" s="65">
        <v>46013</v>
      </c>
      <c r="C41" s="66">
        <v>1</v>
      </c>
      <c r="D41" s="66">
        <v>0</v>
      </c>
      <c r="E41" s="64" t="s">
        <v>171</v>
      </c>
      <c r="F41" s="64" t="s">
        <v>200</v>
      </c>
      <c r="G41" s="64" t="s">
        <v>32</v>
      </c>
      <c r="H41" s="64" t="s">
        <v>148</v>
      </c>
      <c r="I41" s="64" t="s">
        <v>20</v>
      </c>
      <c r="J41" s="64" t="s">
        <v>105</v>
      </c>
      <c r="K41" s="64" t="s">
        <v>19</v>
      </c>
    </row>
    <row r="42" spans="1:19" s="14" customFormat="1" ht="15" customHeight="1" x14ac:dyDescent="0.3">
      <c r="A42" s="64" t="s">
        <v>92</v>
      </c>
      <c r="B42" s="65">
        <v>46056</v>
      </c>
      <c r="C42" s="66">
        <v>1</v>
      </c>
      <c r="D42" s="66">
        <v>0</v>
      </c>
      <c r="E42" s="64" t="s">
        <v>166</v>
      </c>
      <c r="F42" s="64" t="s">
        <v>98</v>
      </c>
      <c r="G42" s="64" t="s">
        <v>32</v>
      </c>
      <c r="H42" s="64" t="s">
        <v>94</v>
      </c>
      <c r="I42" s="64" t="s">
        <v>20</v>
      </c>
      <c r="J42" s="64" t="s">
        <v>166</v>
      </c>
      <c r="K42" s="64" t="s">
        <v>91</v>
      </c>
    </row>
    <row r="43" spans="1:19" s="14" customFormat="1" ht="15" customHeight="1" x14ac:dyDescent="0.3">
      <c r="A43" s="64" t="s">
        <v>99</v>
      </c>
      <c r="B43" s="65">
        <v>46056</v>
      </c>
      <c r="C43" s="66">
        <v>1</v>
      </c>
      <c r="D43" s="66">
        <v>0</v>
      </c>
      <c r="E43" s="64" t="s">
        <v>166</v>
      </c>
      <c r="F43" s="64" t="s">
        <v>98</v>
      </c>
      <c r="G43" s="64" t="s">
        <v>32</v>
      </c>
      <c r="H43" s="64" t="s">
        <v>44</v>
      </c>
      <c r="I43" s="64" t="s">
        <v>20</v>
      </c>
      <c r="J43" s="64" t="s">
        <v>166</v>
      </c>
      <c r="K43" s="64" t="s">
        <v>13</v>
      </c>
    </row>
    <row r="44" spans="1:19" s="18" customFormat="1" ht="15" customHeight="1" x14ac:dyDescent="0.3">
      <c r="A44" s="64" t="s">
        <v>172</v>
      </c>
      <c r="B44" s="65">
        <v>46056</v>
      </c>
      <c r="C44" s="66">
        <v>1</v>
      </c>
      <c r="D44" s="66">
        <v>0</v>
      </c>
      <c r="E44" s="64" t="s">
        <v>173</v>
      </c>
      <c r="F44" s="64" t="s">
        <v>98</v>
      </c>
      <c r="G44" s="64" t="s">
        <v>32</v>
      </c>
      <c r="H44" s="64" t="s">
        <v>33</v>
      </c>
      <c r="I44" s="64" t="s">
        <v>20</v>
      </c>
      <c r="J44" s="64" t="s">
        <v>175</v>
      </c>
      <c r="K44" s="64" t="s">
        <v>176</v>
      </c>
    </row>
    <row r="45" spans="1:19" s="18" customFormat="1" ht="15" customHeight="1" thickBot="1" x14ac:dyDescent="0.35">
      <c r="A45" s="70"/>
      <c r="B45" s="71"/>
      <c r="C45" s="72"/>
      <c r="D45" s="72"/>
      <c r="E45" s="70"/>
      <c r="F45" s="70"/>
      <c r="G45" s="70"/>
      <c r="H45" s="70"/>
      <c r="I45" s="70"/>
      <c r="J45" s="70"/>
      <c r="K45" s="70"/>
    </row>
    <row r="46" spans="1:19" ht="15" hidden="1" thickBot="1" x14ac:dyDescent="0.35">
      <c r="A46" s="51"/>
      <c r="B46" s="52"/>
      <c r="C46" s="53"/>
      <c r="D46" s="53"/>
      <c r="E46" s="51"/>
      <c r="F46" s="51"/>
      <c r="G46" s="51"/>
      <c r="H46" s="51"/>
      <c r="I46" s="51"/>
      <c r="J46" s="51"/>
      <c r="K46" s="2"/>
    </row>
    <row r="47" spans="1:19" ht="15" thickBot="1" x14ac:dyDescent="0.35">
      <c r="B47" s="60" t="s">
        <v>34</v>
      </c>
      <c r="C47" s="61">
        <f>SUM(C40:C44)-SUM(D40:D44)</f>
        <v>5</v>
      </c>
      <c r="E47" s="2"/>
      <c r="F47" s="2"/>
      <c r="H47" s="2"/>
      <c r="J47" s="2"/>
      <c r="K47" s="2"/>
    </row>
    <row r="48" spans="1:19" x14ac:dyDescent="0.3">
      <c r="E48" s="2"/>
      <c r="F48" s="2"/>
      <c r="H48" s="2"/>
      <c r="J48" s="2"/>
      <c r="K48" s="2"/>
    </row>
    <row r="49" spans="1:29" hidden="1" x14ac:dyDescent="0.3">
      <c r="E49" s="2"/>
      <c r="F49" s="2"/>
      <c r="H49" s="2"/>
      <c r="J49" s="2"/>
      <c r="K49" s="2"/>
    </row>
    <row r="50" spans="1:29" s="2" customFormat="1" ht="34.35" customHeight="1" x14ac:dyDescent="0.3">
      <c r="A50" s="62" t="s">
        <v>0</v>
      </c>
      <c r="B50" s="62" t="s">
        <v>1</v>
      </c>
      <c r="C50" s="62" t="s">
        <v>2</v>
      </c>
      <c r="D50" s="62" t="s">
        <v>3</v>
      </c>
      <c r="E50" s="62" t="s">
        <v>4</v>
      </c>
      <c r="F50" s="62" t="s">
        <v>51</v>
      </c>
      <c r="G50" s="62" t="s">
        <v>52</v>
      </c>
      <c r="H50" s="62" t="s">
        <v>5</v>
      </c>
      <c r="I50" s="62" t="s">
        <v>53</v>
      </c>
      <c r="J50" s="62" t="s">
        <v>27</v>
      </c>
      <c r="K50" s="62" t="s">
        <v>6</v>
      </c>
    </row>
    <row r="51" spans="1:29" s="2" customFormat="1" x14ac:dyDescent="0.3">
      <c r="A51" s="64" t="s">
        <v>243</v>
      </c>
      <c r="B51" s="65">
        <v>46050</v>
      </c>
      <c r="C51" s="66">
        <v>1</v>
      </c>
      <c r="D51" s="66">
        <v>0</v>
      </c>
      <c r="E51" s="64" t="s">
        <v>244</v>
      </c>
      <c r="F51" s="64" t="s">
        <v>98</v>
      </c>
      <c r="G51" s="64" t="s">
        <v>55</v>
      </c>
      <c r="H51" s="64" t="s">
        <v>102</v>
      </c>
      <c r="I51" s="64" t="s">
        <v>20</v>
      </c>
      <c r="J51" s="64" t="s">
        <v>103</v>
      </c>
      <c r="K51" s="64" t="s">
        <v>21</v>
      </c>
      <c r="L51" s="4"/>
      <c r="M51" s="4"/>
      <c r="N51" s="4"/>
      <c r="O51" s="4"/>
      <c r="P51" s="4"/>
      <c r="Q51" s="4"/>
      <c r="R51" s="4"/>
    </row>
    <row r="52" spans="1:29" s="2" customFormat="1" x14ac:dyDescent="0.3">
      <c r="A52" s="64" t="s">
        <v>275</v>
      </c>
      <c r="B52" s="65">
        <v>46065</v>
      </c>
      <c r="C52" s="66">
        <v>3</v>
      </c>
      <c r="D52" s="66">
        <v>0</v>
      </c>
      <c r="E52" s="64" t="s">
        <v>29</v>
      </c>
      <c r="F52" s="64" t="s">
        <v>98</v>
      </c>
      <c r="G52" s="64" t="s">
        <v>55</v>
      </c>
      <c r="H52" s="64" t="s">
        <v>33</v>
      </c>
      <c r="I52" s="64" t="s">
        <v>20</v>
      </c>
      <c r="J52" s="64" t="s">
        <v>65</v>
      </c>
      <c r="K52" s="64" t="s">
        <v>48</v>
      </c>
      <c r="L52" s="4"/>
      <c r="M52" s="4"/>
      <c r="N52" s="4"/>
      <c r="O52" s="4"/>
      <c r="P52" s="4"/>
      <c r="Q52" s="4"/>
      <c r="R52" s="4"/>
    </row>
    <row r="53" spans="1:29" s="2" customFormat="1" x14ac:dyDescent="0.3">
      <c r="A53" s="64" t="s">
        <v>276</v>
      </c>
      <c r="B53" s="65">
        <v>46069</v>
      </c>
      <c r="C53" s="66">
        <v>1</v>
      </c>
      <c r="D53" s="66">
        <v>0</v>
      </c>
      <c r="E53" s="64" t="s">
        <v>84</v>
      </c>
      <c r="F53" s="64" t="s">
        <v>98</v>
      </c>
      <c r="G53" s="64" t="s">
        <v>55</v>
      </c>
      <c r="H53" s="64" t="s">
        <v>183</v>
      </c>
      <c r="I53" s="64" t="s">
        <v>20</v>
      </c>
      <c r="J53" s="64" t="s">
        <v>42</v>
      </c>
      <c r="K53" s="64" t="s">
        <v>33</v>
      </c>
      <c r="L53" s="4"/>
      <c r="M53" s="4"/>
      <c r="N53" s="4"/>
      <c r="O53" s="4"/>
      <c r="P53" s="4"/>
      <c r="Q53" s="4"/>
      <c r="R53" s="4"/>
    </row>
    <row r="54" spans="1:29" s="2" customFormat="1" x14ac:dyDescent="0.3">
      <c r="A54" s="64" t="s">
        <v>277</v>
      </c>
      <c r="B54" s="65">
        <v>46070</v>
      </c>
      <c r="C54" s="66">
        <v>1</v>
      </c>
      <c r="D54" s="66">
        <v>0</v>
      </c>
      <c r="E54" s="64" t="s">
        <v>278</v>
      </c>
      <c r="F54" s="64" t="s">
        <v>98</v>
      </c>
      <c r="G54" s="64" t="s">
        <v>55</v>
      </c>
      <c r="H54" s="64" t="s">
        <v>33</v>
      </c>
      <c r="I54" s="64" t="s">
        <v>20</v>
      </c>
      <c r="J54" s="64" t="s">
        <v>134</v>
      </c>
      <c r="K54" s="64" t="s">
        <v>13</v>
      </c>
      <c r="L54" s="4"/>
      <c r="M54" s="4"/>
      <c r="N54" s="4"/>
      <c r="O54" s="4"/>
      <c r="P54" s="4"/>
      <c r="Q54" s="4"/>
      <c r="R54" s="3"/>
      <c r="S54" s="3"/>
      <c r="T54" s="4"/>
      <c r="U54" s="4"/>
      <c r="V54" s="4"/>
      <c r="W54" s="4"/>
      <c r="X54" s="4"/>
      <c r="Y54" s="4"/>
      <c r="Z54" s="4"/>
      <c r="AA54" s="4"/>
      <c r="AB54" s="4"/>
      <c r="AC54" s="4"/>
    </row>
    <row r="55" spans="1:29" s="2" customFormat="1" x14ac:dyDescent="0.3">
      <c r="A55" s="64" t="s">
        <v>279</v>
      </c>
      <c r="B55" s="65">
        <v>46071</v>
      </c>
      <c r="C55" s="66">
        <v>1</v>
      </c>
      <c r="D55" s="66">
        <v>0</v>
      </c>
      <c r="E55" s="64" t="s">
        <v>153</v>
      </c>
      <c r="F55" s="64" t="s">
        <v>200</v>
      </c>
      <c r="G55" s="64" t="s">
        <v>55</v>
      </c>
      <c r="H55" s="64" t="s">
        <v>33</v>
      </c>
      <c r="I55" s="64" t="s">
        <v>20</v>
      </c>
      <c r="J55" s="64" t="s">
        <v>77</v>
      </c>
      <c r="K55" s="64" t="s">
        <v>13</v>
      </c>
      <c r="L55" s="4"/>
      <c r="M55" s="4"/>
      <c r="N55" s="4"/>
      <c r="O55" s="4"/>
      <c r="P55" s="4"/>
      <c r="Q55" s="4"/>
      <c r="R55" s="3"/>
      <c r="S55" s="3"/>
      <c r="T55" s="4"/>
      <c r="U55" s="4"/>
      <c r="V55" s="4"/>
      <c r="W55" s="4"/>
      <c r="X55" s="4"/>
      <c r="Y55" s="4"/>
      <c r="Z55" s="4"/>
      <c r="AA55" s="4"/>
      <c r="AB55" s="4"/>
      <c r="AC55" s="4"/>
    </row>
    <row r="56" spans="1:29" s="2" customFormat="1" x14ac:dyDescent="0.3">
      <c r="A56" s="64" t="s">
        <v>280</v>
      </c>
      <c r="B56" s="65">
        <v>46071</v>
      </c>
      <c r="C56" s="66">
        <v>1</v>
      </c>
      <c r="D56" s="66">
        <v>0</v>
      </c>
      <c r="E56" s="64" t="s">
        <v>153</v>
      </c>
      <c r="F56" s="64" t="s">
        <v>200</v>
      </c>
      <c r="G56" s="64" t="s">
        <v>55</v>
      </c>
      <c r="H56" s="64" t="s">
        <v>33</v>
      </c>
      <c r="I56" s="64" t="s">
        <v>20</v>
      </c>
      <c r="J56" s="64" t="s">
        <v>77</v>
      </c>
      <c r="K56" s="64" t="s">
        <v>13</v>
      </c>
      <c r="L56" s="4"/>
      <c r="M56" s="4"/>
      <c r="N56" s="4"/>
      <c r="O56" s="4"/>
      <c r="P56" s="4"/>
      <c r="Q56" s="4"/>
      <c r="R56" s="3"/>
      <c r="S56" s="3"/>
      <c r="T56" s="4"/>
      <c r="U56" s="4"/>
      <c r="V56" s="4"/>
      <c r="W56" s="4"/>
      <c r="X56" s="4"/>
      <c r="Y56" s="4"/>
      <c r="Z56" s="4"/>
      <c r="AA56" s="4"/>
      <c r="AB56" s="4"/>
      <c r="AC56" s="4"/>
    </row>
    <row r="57" spans="1:29" s="2" customFormat="1" ht="15" thickBot="1" x14ac:dyDescent="0.35">
      <c r="A57" s="70"/>
      <c r="B57" s="71"/>
      <c r="C57" s="72"/>
      <c r="D57" s="72"/>
      <c r="E57" s="70"/>
      <c r="F57" s="70"/>
      <c r="G57" s="70"/>
      <c r="H57" s="70"/>
      <c r="I57" s="70"/>
      <c r="J57" s="70"/>
      <c r="K57" s="70"/>
      <c r="L57" s="4"/>
      <c r="M57" s="4"/>
      <c r="N57" s="4"/>
      <c r="O57" s="4"/>
      <c r="P57" s="4"/>
      <c r="Q57" s="4"/>
      <c r="R57" s="3"/>
      <c r="S57" s="3"/>
      <c r="T57" s="4"/>
      <c r="U57" s="4"/>
      <c r="V57" s="4"/>
      <c r="W57" s="4"/>
      <c r="X57" s="4"/>
      <c r="Y57" s="4"/>
      <c r="Z57" s="4"/>
      <c r="AA57" s="4"/>
      <c r="AB57" s="4"/>
      <c r="AC57" s="4"/>
    </row>
    <row r="58" spans="1:29" ht="15" thickBot="1" x14ac:dyDescent="0.35">
      <c r="B58" s="38" t="s">
        <v>266</v>
      </c>
      <c r="C58" s="22">
        <v>8</v>
      </c>
    </row>
  </sheetData>
  <autoFilter ref="A3:J29" xr:uid="{6E392464-0CD5-4B6C-9B5A-A4EF4B03C567}"/>
  <conditionalFormatting sqref="F1:F34 F37:F1048576">
    <cfRule type="cellIs" dxfId="57" priority="1" operator="equal">
      <formula>"Non-Billable"</formula>
    </cfRule>
    <cfRule type="cellIs" dxfId="56" priority="2" operator="equal">
      <formula>"Billable"</formula>
    </cfRule>
  </conditionalFormatting>
  <conditionalFormatting sqref="F35">
    <cfRule type="cellIs" dxfId="55" priority="10" operator="equal">
      <formula>"Not Accepting Application"</formula>
    </cfRule>
    <cfRule type="cellIs" dxfId="54" priority="11" operator="equal">
      <formula>"Y"</formula>
    </cfRule>
  </conditionalFormatting>
  <conditionalFormatting sqref="H1:H2 H4:H34 F35 H36:H38 H40:H49 H54:H1048576">
    <cfRule type="cellIs" dxfId="53" priority="8" operator="equal">
      <formula>"Not accpeting applications"</formula>
    </cfRule>
  </conditionalFormatting>
  <conditionalFormatting sqref="H1:H2 H4:H34 H36:H38 H40:H49 V51:V53 AG54:AG58 H54:H1048576">
    <cfRule type="cellIs" dxfId="52" priority="6" operator="equal">
      <formula>"Not Accepting Applications"</formula>
    </cfRule>
  </conditionalFormatting>
  <conditionalFormatting sqref="H4:H34">
    <cfRule type="cellIs" dxfId="51" priority="9" operator="equal">
      <formula>"Accepting Applications"</formula>
    </cfRule>
  </conditionalFormatting>
  <conditionalFormatting sqref="H40:H42">
    <cfRule type="cellIs" dxfId="50" priority="7" operator="equal">
      <formula>"Not accepting applications"</formula>
    </cfRule>
  </conditionalFormatting>
  <conditionalFormatting sqref="H44:H45">
    <cfRule type="cellIs" dxfId="49" priority="12" operator="equal">
      <formula>"Not Accepting Application"</formula>
    </cfRule>
    <cfRule type="cellIs" dxfId="48" priority="13" operator="equal">
      <formula>"Accepting Applications"</formula>
    </cfRule>
    <cfRule type="cellIs" dxfId="47" priority="14" operator="equal">
      <formula>"Y"</formula>
    </cfRule>
  </conditionalFormatting>
  <conditionalFormatting sqref="I1:I34 F35:G35 I37:I1048576">
    <cfRule type="cellIs" dxfId="46" priority="4" operator="equal">
      <formula>"Accepting Applications"</formula>
    </cfRule>
    <cfRule type="cellIs" dxfId="45" priority="5" operator="equal">
      <formula>"Not Accepting Applications"</formula>
    </cfRule>
  </conditionalFormatting>
  <conditionalFormatting sqref="I1:I34 G35 I37:I1048576">
    <cfRule type="cellIs" dxfId="44" priority="3" operator="equal">
      <formula>"Pending"</formula>
    </cfRule>
  </conditionalFormatting>
  <pageMargins left="0.7" right="0.7" top="0.75" bottom="0.75" header="0.3" footer="0.3"/>
  <pageSetup orientation="landscape" horizontalDpi="4294967295" verticalDpi="4294967295"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EDDEA-C70D-44EB-9024-5ACF5DAA05BA}">
  <sheetPr>
    <tabColor theme="2" tint="-0.249977111117893"/>
  </sheetPr>
  <dimension ref="A1:AC69"/>
  <sheetViews>
    <sheetView showGridLines="0" zoomScale="80" zoomScaleNormal="80" workbookViewId="0">
      <selection activeCell="H33" sqref="H33"/>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0.33333333333333331</v>
      </c>
      <c r="B1" s="37">
        <v>46069</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64" t="s">
        <v>59</v>
      </c>
      <c r="B4" s="65">
        <v>46043</v>
      </c>
      <c r="C4" s="66">
        <v>5</v>
      </c>
      <c r="D4" s="66">
        <v>4</v>
      </c>
      <c r="E4" s="64" t="s">
        <v>46</v>
      </c>
      <c r="F4" s="64" t="s">
        <v>200</v>
      </c>
      <c r="G4" s="64" t="s">
        <v>7</v>
      </c>
      <c r="H4" s="64" t="s">
        <v>18</v>
      </c>
      <c r="I4" s="64" t="s">
        <v>56</v>
      </c>
      <c r="J4" s="64" t="s">
        <v>49</v>
      </c>
      <c r="K4" s="64" t="s">
        <v>48</v>
      </c>
      <c r="AB4" s="2" t="s">
        <v>10</v>
      </c>
      <c r="AC4" s="2" t="s">
        <v>11</v>
      </c>
    </row>
    <row r="5" spans="1:29" s="2" customFormat="1" x14ac:dyDescent="0.3">
      <c r="A5" s="64" t="s">
        <v>81</v>
      </c>
      <c r="B5" s="65">
        <v>46034</v>
      </c>
      <c r="C5" s="66">
        <v>2</v>
      </c>
      <c r="D5" s="66">
        <v>1</v>
      </c>
      <c r="E5" s="64" t="s">
        <v>41</v>
      </c>
      <c r="F5" s="64" t="s">
        <v>98</v>
      </c>
      <c r="G5" s="64" t="s">
        <v>7</v>
      </c>
      <c r="H5" s="64" t="s">
        <v>18</v>
      </c>
      <c r="I5" s="64" t="s">
        <v>56</v>
      </c>
      <c r="J5" s="64" t="s">
        <v>82</v>
      </c>
      <c r="K5" s="64" t="s">
        <v>22</v>
      </c>
      <c r="AB5" s="2" t="s">
        <v>14</v>
      </c>
      <c r="AC5" s="2">
        <v>17</v>
      </c>
    </row>
    <row r="6" spans="1:29" s="2" customFormat="1" x14ac:dyDescent="0.3">
      <c r="A6" s="64" t="s">
        <v>100</v>
      </c>
      <c r="B6" s="65">
        <v>46063</v>
      </c>
      <c r="C6" s="66">
        <v>2</v>
      </c>
      <c r="D6" s="66">
        <v>1</v>
      </c>
      <c r="E6" s="64" t="s">
        <v>101</v>
      </c>
      <c r="F6" s="64" t="s">
        <v>98</v>
      </c>
      <c r="G6" s="64" t="s">
        <v>7</v>
      </c>
      <c r="H6" s="64" t="s">
        <v>235</v>
      </c>
      <c r="I6" s="64" t="s">
        <v>20</v>
      </c>
      <c r="J6" s="64" t="s">
        <v>103</v>
      </c>
      <c r="K6" s="64" t="s">
        <v>21</v>
      </c>
      <c r="N6" s="10"/>
      <c r="AB6" s="2" t="s">
        <v>15</v>
      </c>
      <c r="AC6" s="2">
        <v>3</v>
      </c>
    </row>
    <row r="7" spans="1:29" s="2" customFormat="1" x14ac:dyDescent="0.3">
      <c r="A7" s="64" t="s">
        <v>122</v>
      </c>
      <c r="B7" s="65">
        <v>46063</v>
      </c>
      <c r="C7" s="66">
        <v>2</v>
      </c>
      <c r="D7" s="66">
        <v>1</v>
      </c>
      <c r="E7" s="64" t="s">
        <v>236</v>
      </c>
      <c r="F7" s="64" t="s">
        <v>98</v>
      </c>
      <c r="G7" s="64" t="s">
        <v>7</v>
      </c>
      <c r="H7" s="64" t="s">
        <v>23</v>
      </c>
      <c r="I7" s="64" t="s">
        <v>9</v>
      </c>
      <c r="J7" s="64" t="s">
        <v>121</v>
      </c>
      <c r="K7" s="64" t="s">
        <v>13</v>
      </c>
      <c r="N7" s="10"/>
      <c r="V7" s="11"/>
      <c r="AB7" s="2" t="s">
        <v>16</v>
      </c>
      <c r="AC7" s="2">
        <v>4</v>
      </c>
    </row>
    <row r="8" spans="1:29" s="2" customFormat="1" x14ac:dyDescent="0.3">
      <c r="A8" s="64" t="s">
        <v>128</v>
      </c>
      <c r="B8" s="65">
        <v>46035</v>
      </c>
      <c r="C8" s="66">
        <v>1</v>
      </c>
      <c r="D8" s="66">
        <v>0</v>
      </c>
      <c r="E8" s="64" t="s">
        <v>129</v>
      </c>
      <c r="F8" s="64" t="s">
        <v>200</v>
      </c>
      <c r="G8" s="64" t="s">
        <v>7</v>
      </c>
      <c r="H8" s="64" t="s">
        <v>64</v>
      </c>
      <c r="I8" s="64" t="s">
        <v>9</v>
      </c>
      <c r="J8" s="64" t="s">
        <v>65</v>
      </c>
      <c r="K8" s="64" t="s">
        <v>48</v>
      </c>
      <c r="N8" s="10"/>
    </row>
    <row r="9" spans="1:29" s="2" customFormat="1" x14ac:dyDescent="0.3">
      <c r="A9" s="64" t="s">
        <v>138</v>
      </c>
      <c r="B9" s="65">
        <v>46006</v>
      </c>
      <c r="C9" s="66">
        <v>5</v>
      </c>
      <c r="D9" s="66">
        <v>0</v>
      </c>
      <c r="E9" s="64" t="s">
        <v>45</v>
      </c>
      <c r="F9" s="64" t="s">
        <v>200</v>
      </c>
      <c r="G9" s="64" t="s">
        <v>7</v>
      </c>
      <c r="H9" s="64" t="s">
        <v>139</v>
      </c>
      <c r="I9" s="64" t="s">
        <v>20</v>
      </c>
      <c r="J9" s="64" t="s">
        <v>140</v>
      </c>
      <c r="K9" s="64" t="s">
        <v>22</v>
      </c>
    </row>
    <row r="10" spans="1:29" s="2" customFormat="1" x14ac:dyDescent="0.3">
      <c r="A10" s="64" t="s">
        <v>141</v>
      </c>
      <c r="B10" s="65">
        <v>46048</v>
      </c>
      <c r="C10" s="66">
        <v>4</v>
      </c>
      <c r="D10" s="66">
        <v>0</v>
      </c>
      <c r="E10" s="64" t="s">
        <v>142</v>
      </c>
      <c r="F10" s="64" t="s">
        <v>200</v>
      </c>
      <c r="G10" s="64" t="s">
        <v>7</v>
      </c>
      <c r="H10" s="64" t="s">
        <v>139</v>
      </c>
      <c r="I10" s="64" t="s">
        <v>20</v>
      </c>
      <c r="J10" s="64" t="s">
        <v>140</v>
      </c>
      <c r="K10" s="64" t="s">
        <v>22</v>
      </c>
    </row>
    <row r="11" spans="1:29" s="2" customFormat="1" x14ac:dyDescent="0.3">
      <c r="A11" s="64" t="s">
        <v>143</v>
      </c>
      <c r="B11" s="65">
        <v>46014</v>
      </c>
      <c r="C11" s="66">
        <v>2</v>
      </c>
      <c r="D11" s="66">
        <v>1</v>
      </c>
      <c r="E11" s="64" t="s">
        <v>29</v>
      </c>
      <c r="F11" s="64" t="s">
        <v>200</v>
      </c>
      <c r="G11" s="64" t="s">
        <v>7</v>
      </c>
      <c r="H11" s="64" t="s">
        <v>18</v>
      </c>
      <c r="I11" s="64" t="s">
        <v>56</v>
      </c>
      <c r="J11" s="64" t="s">
        <v>140</v>
      </c>
      <c r="K11" s="64" t="s">
        <v>22</v>
      </c>
    </row>
    <row r="12" spans="1:29" s="2" customFormat="1" x14ac:dyDescent="0.3">
      <c r="A12" s="64" t="s">
        <v>152</v>
      </c>
      <c r="B12" s="65">
        <v>46006</v>
      </c>
      <c r="C12" s="66">
        <v>1</v>
      </c>
      <c r="D12" s="66">
        <v>0</v>
      </c>
      <c r="E12" s="64" t="s">
        <v>153</v>
      </c>
      <c r="F12" s="64" t="s">
        <v>200</v>
      </c>
      <c r="G12" s="64" t="s">
        <v>7</v>
      </c>
      <c r="H12" s="64" t="s">
        <v>33</v>
      </c>
      <c r="I12" s="64" t="s">
        <v>20</v>
      </c>
      <c r="J12" s="64" t="s">
        <v>77</v>
      </c>
      <c r="K12" s="64" t="s">
        <v>13</v>
      </c>
    </row>
    <row r="13" spans="1:29" s="2" customFormat="1" x14ac:dyDescent="0.3">
      <c r="A13" s="64" t="s">
        <v>157</v>
      </c>
      <c r="B13" s="65">
        <v>46063</v>
      </c>
      <c r="C13" s="66">
        <v>1</v>
      </c>
      <c r="D13" s="66">
        <v>0</v>
      </c>
      <c r="E13" s="64" t="s">
        <v>158</v>
      </c>
      <c r="F13" s="64" t="s">
        <v>98</v>
      </c>
      <c r="G13" s="64" t="s">
        <v>7</v>
      </c>
      <c r="H13" s="64" t="s">
        <v>17</v>
      </c>
      <c r="I13" s="64" t="s">
        <v>9</v>
      </c>
      <c r="J13" s="64" t="s">
        <v>159</v>
      </c>
      <c r="K13" s="64" t="s">
        <v>28</v>
      </c>
    </row>
    <row r="14" spans="1:29" s="2" customFormat="1" x14ac:dyDescent="0.3">
      <c r="A14" s="64" t="s">
        <v>162</v>
      </c>
      <c r="B14" s="65">
        <v>46019</v>
      </c>
      <c r="C14" s="66">
        <v>1</v>
      </c>
      <c r="D14" s="66">
        <v>0</v>
      </c>
      <c r="E14" s="64" t="s">
        <v>166</v>
      </c>
      <c r="F14" s="64" t="s">
        <v>200</v>
      </c>
      <c r="G14" s="64" t="s">
        <v>7</v>
      </c>
      <c r="H14" s="64" t="s">
        <v>33</v>
      </c>
      <c r="I14" s="64" t="s">
        <v>20</v>
      </c>
      <c r="J14" s="64" t="s">
        <v>166</v>
      </c>
      <c r="K14" s="64" t="s">
        <v>13</v>
      </c>
    </row>
    <row r="15" spans="1:29" s="2" customFormat="1" x14ac:dyDescent="0.3">
      <c r="A15" s="64" t="s">
        <v>198</v>
      </c>
      <c r="B15" s="65">
        <v>46045</v>
      </c>
      <c r="C15" s="66">
        <v>1</v>
      </c>
      <c r="D15" s="66">
        <v>0</v>
      </c>
      <c r="E15" s="64" t="s">
        <v>199</v>
      </c>
      <c r="F15" s="64" t="s">
        <v>200</v>
      </c>
      <c r="G15" s="64" t="s">
        <v>7</v>
      </c>
      <c r="H15" s="64" t="s">
        <v>33</v>
      </c>
      <c r="I15" s="64" t="s">
        <v>20</v>
      </c>
      <c r="J15" s="64" t="s">
        <v>12</v>
      </c>
      <c r="K15" s="64" t="s">
        <v>24</v>
      </c>
    </row>
    <row r="16" spans="1:29" s="2" customFormat="1" x14ac:dyDescent="0.3">
      <c r="A16" s="64" t="s">
        <v>202</v>
      </c>
      <c r="B16" s="65">
        <v>46063</v>
      </c>
      <c r="C16" s="66">
        <v>1</v>
      </c>
      <c r="D16" s="66">
        <v>0</v>
      </c>
      <c r="E16" s="64" t="s">
        <v>54</v>
      </c>
      <c r="F16" s="64" t="s">
        <v>98</v>
      </c>
      <c r="G16" s="64" t="s">
        <v>7</v>
      </c>
      <c r="H16" s="64" t="s">
        <v>17</v>
      </c>
      <c r="I16" s="64" t="s">
        <v>9</v>
      </c>
      <c r="J16" s="64" t="s">
        <v>203</v>
      </c>
      <c r="K16" s="64" t="s">
        <v>19</v>
      </c>
    </row>
    <row r="17" spans="1:11" s="2" customFormat="1" x14ac:dyDescent="0.3">
      <c r="A17" s="64" t="s">
        <v>204</v>
      </c>
      <c r="B17" s="65">
        <v>46063</v>
      </c>
      <c r="C17" s="66">
        <v>1</v>
      </c>
      <c r="D17" s="66">
        <v>0</v>
      </c>
      <c r="E17" s="64" t="s">
        <v>205</v>
      </c>
      <c r="F17" s="64" t="s">
        <v>98</v>
      </c>
      <c r="G17" s="64" t="s">
        <v>7</v>
      </c>
      <c r="H17" s="64" t="s">
        <v>17</v>
      </c>
      <c r="I17" s="64" t="s">
        <v>9</v>
      </c>
      <c r="J17" s="64" t="s">
        <v>206</v>
      </c>
      <c r="K17" s="64" t="s">
        <v>13</v>
      </c>
    </row>
    <row r="18" spans="1:11" s="2" customFormat="1" x14ac:dyDescent="0.3">
      <c r="A18" s="64" t="s">
        <v>209</v>
      </c>
      <c r="B18" s="65">
        <v>46063</v>
      </c>
      <c r="C18" s="66">
        <v>1</v>
      </c>
      <c r="D18" s="66">
        <v>0</v>
      </c>
      <c r="E18" s="64" t="s">
        <v>210</v>
      </c>
      <c r="F18" s="64" t="s">
        <v>98</v>
      </c>
      <c r="G18" s="64" t="s">
        <v>7</v>
      </c>
      <c r="H18" s="64" t="s">
        <v>17</v>
      </c>
      <c r="I18" s="64" t="s">
        <v>9</v>
      </c>
      <c r="J18" s="64" t="s">
        <v>206</v>
      </c>
      <c r="K18" s="64" t="s">
        <v>13</v>
      </c>
    </row>
    <row r="19" spans="1:11" s="2" customFormat="1" ht="15" customHeight="1" x14ac:dyDescent="0.3">
      <c r="A19" s="64" t="s">
        <v>213</v>
      </c>
      <c r="B19" s="65">
        <v>46063</v>
      </c>
      <c r="C19" s="66">
        <v>2</v>
      </c>
      <c r="D19" s="66">
        <v>1</v>
      </c>
      <c r="E19" s="64" t="s">
        <v>214</v>
      </c>
      <c r="F19" s="64" t="s">
        <v>200</v>
      </c>
      <c r="G19" s="64" t="s">
        <v>7</v>
      </c>
      <c r="H19" s="64" t="s">
        <v>18</v>
      </c>
      <c r="I19" s="64" t="s">
        <v>56</v>
      </c>
      <c r="J19" s="64" t="s">
        <v>215</v>
      </c>
      <c r="K19" s="64" t="s">
        <v>216</v>
      </c>
    </row>
    <row r="20" spans="1:11" s="2" customFormat="1" ht="13.95" customHeight="1" x14ac:dyDescent="0.3">
      <c r="A20" s="64" t="s">
        <v>217</v>
      </c>
      <c r="B20" s="65">
        <v>46051</v>
      </c>
      <c r="C20" s="66">
        <v>1</v>
      </c>
      <c r="D20" s="66">
        <v>0</v>
      </c>
      <c r="E20" s="64" t="s">
        <v>218</v>
      </c>
      <c r="F20" s="64" t="s">
        <v>200</v>
      </c>
      <c r="G20" s="64" t="s">
        <v>7</v>
      </c>
      <c r="H20" s="64" t="s">
        <v>148</v>
      </c>
      <c r="I20" s="64" t="s">
        <v>9</v>
      </c>
      <c r="J20" s="64" t="s">
        <v>121</v>
      </c>
      <c r="K20" s="64" t="s">
        <v>13</v>
      </c>
    </row>
    <row r="21" spans="1:11" s="2" customFormat="1" x14ac:dyDescent="0.3">
      <c r="A21" s="64" t="s">
        <v>221</v>
      </c>
      <c r="B21" s="65">
        <v>46050</v>
      </c>
      <c r="C21" s="66">
        <v>2</v>
      </c>
      <c r="D21" s="66">
        <v>0</v>
      </c>
      <c r="E21" s="64" t="s">
        <v>201</v>
      </c>
      <c r="F21" s="64" t="s">
        <v>200</v>
      </c>
      <c r="G21" s="64" t="s">
        <v>7</v>
      </c>
      <c r="H21" s="64" t="s">
        <v>47</v>
      </c>
      <c r="I21" s="64" t="s">
        <v>9</v>
      </c>
      <c r="J21" s="64" t="s">
        <v>105</v>
      </c>
      <c r="K21" s="64" t="s">
        <v>43</v>
      </c>
    </row>
    <row r="22" spans="1:11" s="2" customFormat="1" x14ac:dyDescent="0.3">
      <c r="A22" s="64" t="s">
        <v>222</v>
      </c>
      <c r="B22" s="65">
        <v>46065</v>
      </c>
      <c r="C22" s="66">
        <v>1</v>
      </c>
      <c r="D22" s="66">
        <v>0</v>
      </c>
      <c r="E22" s="64" t="s">
        <v>223</v>
      </c>
      <c r="F22" s="64" t="s">
        <v>200</v>
      </c>
      <c r="G22" s="64" t="s">
        <v>7</v>
      </c>
      <c r="H22" s="64" t="s">
        <v>18</v>
      </c>
      <c r="I22" s="64" t="s">
        <v>56</v>
      </c>
      <c r="J22" s="64" t="s">
        <v>180</v>
      </c>
      <c r="K22" s="64" t="s">
        <v>13</v>
      </c>
    </row>
    <row r="23" spans="1:11" s="2" customFormat="1" x14ac:dyDescent="0.3">
      <c r="A23" s="64" t="s">
        <v>224</v>
      </c>
      <c r="B23" s="65">
        <v>46066</v>
      </c>
      <c r="C23" s="66">
        <v>1</v>
      </c>
      <c r="D23" s="66">
        <v>0</v>
      </c>
      <c r="E23" s="64" t="s">
        <v>225</v>
      </c>
      <c r="F23" s="64" t="s">
        <v>200</v>
      </c>
      <c r="G23" s="64" t="s">
        <v>7</v>
      </c>
      <c r="H23" s="64" t="s">
        <v>148</v>
      </c>
      <c r="I23" s="64" t="s">
        <v>9</v>
      </c>
      <c r="J23" s="64" t="s">
        <v>180</v>
      </c>
      <c r="K23" s="64" t="s">
        <v>13</v>
      </c>
    </row>
    <row r="24" spans="1:11" s="2" customFormat="1" ht="15" customHeight="1" x14ac:dyDescent="0.3">
      <c r="A24" s="64" t="s">
        <v>226</v>
      </c>
      <c r="B24" s="65">
        <v>46066</v>
      </c>
      <c r="C24" s="66">
        <v>2</v>
      </c>
      <c r="D24" s="66">
        <v>0</v>
      </c>
      <c r="E24" s="64" t="s">
        <v>227</v>
      </c>
      <c r="F24" s="64" t="s">
        <v>200</v>
      </c>
      <c r="G24" s="64" t="s">
        <v>7</v>
      </c>
      <c r="H24" s="64" t="s">
        <v>148</v>
      </c>
      <c r="I24" s="64" t="s">
        <v>9</v>
      </c>
      <c r="J24" s="64" t="s">
        <v>180</v>
      </c>
      <c r="K24" s="64" t="s">
        <v>13</v>
      </c>
    </row>
    <row r="25" spans="1:11" s="2" customFormat="1" x14ac:dyDescent="0.3">
      <c r="A25" s="64" t="s">
        <v>228</v>
      </c>
      <c r="B25" s="65">
        <v>46045</v>
      </c>
      <c r="C25" s="66">
        <v>1</v>
      </c>
      <c r="D25" s="66">
        <v>0</v>
      </c>
      <c r="E25" s="64" t="s">
        <v>30</v>
      </c>
      <c r="F25" s="64" t="s">
        <v>200</v>
      </c>
      <c r="G25" s="64" t="s">
        <v>7</v>
      </c>
      <c r="H25" s="64" t="s">
        <v>8</v>
      </c>
      <c r="I25" s="64" t="s">
        <v>9</v>
      </c>
      <c r="J25" s="64" t="s">
        <v>12</v>
      </c>
      <c r="K25" s="64" t="s">
        <v>24</v>
      </c>
    </row>
    <row r="26" spans="1:11" s="2" customFormat="1" x14ac:dyDescent="0.3">
      <c r="A26" s="64" t="s">
        <v>229</v>
      </c>
      <c r="B26" s="65">
        <v>46065</v>
      </c>
      <c r="C26" s="66">
        <v>3</v>
      </c>
      <c r="D26" s="66">
        <v>1</v>
      </c>
      <c r="E26" s="64" t="s">
        <v>45</v>
      </c>
      <c r="F26" s="64" t="s">
        <v>200</v>
      </c>
      <c r="G26" s="64" t="s">
        <v>7</v>
      </c>
      <c r="H26" s="64" t="s">
        <v>272</v>
      </c>
      <c r="I26" s="64" t="s">
        <v>20</v>
      </c>
      <c r="J26" s="64" t="s">
        <v>121</v>
      </c>
      <c r="K26" s="64" t="s">
        <v>13</v>
      </c>
    </row>
    <row r="27" spans="1:11" s="2" customFormat="1" x14ac:dyDescent="0.3">
      <c r="A27" s="64" t="s">
        <v>230</v>
      </c>
      <c r="B27" s="65">
        <v>46065</v>
      </c>
      <c r="C27" s="66">
        <v>1</v>
      </c>
      <c r="D27" s="66">
        <v>0</v>
      </c>
      <c r="E27" s="64" t="s">
        <v>263</v>
      </c>
      <c r="F27" s="64" t="s">
        <v>273</v>
      </c>
      <c r="G27" s="64" t="s">
        <v>7</v>
      </c>
      <c r="H27" s="64" t="s">
        <v>274</v>
      </c>
      <c r="I27" s="64" t="s">
        <v>9</v>
      </c>
      <c r="J27" s="64" t="s">
        <v>12</v>
      </c>
      <c r="K27" s="64" t="s">
        <v>24</v>
      </c>
    </row>
    <row r="28" spans="1:11" s="2" customFormat="1" x14ac:dyDescent="0.3">
      <c r="A28" s="64" t="s">
        <v>233</v>
      </c>
      <c r="B28" s="65">
        <v>46050</v>
      </c>
      <c r="C28" s="66">
        <v>3</v>
      </c>
      <c r="D28" s="66">
        <v>0</v>
      </c>
      <c r="E28" s="64" t="s">
        <v>63</v>
      </c>
      <c r="F28" s="64" t="s">
        <v>200</v>
      </c>
      <c r="G28" s="64" t="s">
        <v>7</v>
      </c>
      <c r="H28" s="64" t="s">
        <v>33</v>
      </c>
      <c r="I28" s="64" t="s">
        <v>20</v>
      </c>
      <c r="J28" s="64" t="s">
        <v>65</v>
      </c>
      <c r="K28" s="64" t="s">
        <v>48</v>
      </c>
    </row>
    <row r="29" spans="1:11" s="2" customFormat="1" x14ac:dyDescent="0.3">
      <c r="A29" s="64" t="s">
        <v>234</v>
      </c>
      <c r="B29" s="65">
        <v>46056</v>
      </c>
      <c r="C29" s="66">
        <v>30</v>
      </c>
      <c r="D29" s="66">
        <v>0</v>
      </c>
      <c r="E29" s="64" t="s">
        <v>45</v>
      </c>
      <c r="F29" s="64" t="s">
        <v>200</v>
      </c>
      <c r="G29" s="64" t="s">
        <v>7</v>
      </c>
      <c r="H29" s="64" t="s">
        <v>259</v>
      </c>
      <c r="I29" s="64" t="s">
        <v>20</v>
      </c>
      <c r="J29" s="64" t="s">
        <v>49</v>
      </c>
      <c r="K29" s="64" t="s">
        <v>91</v>
      </c>
    </row>
    <row r="30" spans="1:11" s="2" customFormat="1" ht="13.95" customHeight="1" x14ac:dyDescent="0.3">
      <c r="A30" s="64" t="s">
        <v>237</v>
      </c>
      <c r="B30" s="65">
        <v>46062</v>
      </c>
      <c r="C30" s="66">
        <v>1</v>
      </c>
      <c r="D30" s="66">
        <v>0</v>
      </c>
      <c r="E30" s="64" t="s">
        <v>238</v>
      </c>
      <c r="F30" s="64" t="s">
        <v>200</v>
      </c>
      <c r="G30" s="64" t="s">
        <v>7</v>
      </c>
      <c r="H30" s="64" t="s">
        <v>8</v>
      </c>
      <c r="I30" s="64" t="s">
        <v>20</v>
      </c>
      <c r="J30" s="64" t="s">
        <v>12</v>
      </c>
      <c r="K30" s="64" t="s">
        <v>13</v>
      </c>
    </row>
    <row r="31" spans="1:11" s="2" customFormat="1" ht="14.25" customHeight="1" x14ac:dyDescent="0.3">
      <c r="A31" s="64" t="s">
        <v>251</v>
      </c>
      <c r="B31" s="65">
        <v>46063</v>
      </c>
      <c r="C31" s="66">
        <v>1</v>
      </c>
      <c r="D31" s="66">
        <v>0</v>
      </c>
      <c r="E31" s="64" t="s">
        <v>193</v>
      </c>
      <c r="F31" s="64" t="s">
        <v>98</v>
      </c>
      <c r="G31" s="64" t="s">
        <v>7</v>
      </c>
      <c r="H31" s="64" t="s">
        <v>148</v>
      </c>
      <c r="I31" s="64" t="s">
        <v>9</v>
      </c>
      <c r="J31" s="64" t="s">
        <v>252</v>
      </c>
      <c r="K31" s="64" t="s">
        <v>48</v>
      </c>
    </row>
    <row r="32" spans="1:11" s="2" customFormat="1" ht="14.25" customHeight="1" x14ac:dyDescent="0.3">
      <c r="A32" s="64" t="s">
        <v>241</v>
      </c>
      <c r="B32" s="65">
        <v>46063</v>
      </c>
      <c r="C32" s="66">
        <v>1</v>
      </c>
      <c r="D32" s="66">
        <v>0</v>
      </c>
      <c r="E32" s="64" t="s">
        <v>147</v>
      </c>
      <c r="F32" s="64" t="s">
        <v>98</v>
      </c>
      <c r="G32" s="64" t="s">
        <v>7</v>
      </c>
      <c r="H32" s="64" t="s">
        <v>183</v>
      </c>
      <c r="I32" s="64" t="s">
        <v>20</v>
      </c>
      <c r="J32" s="64" t="s">
        <v>149</v>
      </c>
      <c r="K32" s="64" t="s">
        <v>242</v>
      </c>
    </row>
    <row r="33" spans="1:19" s="2" customFormat="1" ht="14.25" customHeight="1" x14ac:dyDescent="0.3">
      <c r="A33" s="64" t="s">
        <v>246</v>
      </c>
      <c r="B33" s="65">
        <v>46055</v>
      </c>
      <c r="C33" s="66">
        <v>1</v>
      </c>
      <c r="D33" s="66">
        <v>0</v>
      </c>
      <c r="E33" s="64" t="s">
        <v>232</v>
      </c>
      <c r="F33" s="64" t="s">
        <v>200</v>
      </c>
      <c r="G33" s="64" t="s">
        <v>7</v>
      </c>
      <c r="H33" s="64" t="s">
        <v>33</v>
      </c>
      <c r="I33" s="64" t="s">
        <v>9</v>
      </c>
      <c r="J33" s="64" t="s">
        <v>65</v>
      </c>
      <c r="K33" s="64" t="s">
        <v>48</v>
      </c>
    </row>
    <row r="34" spans="1:19" s="2" customFormat="1" ht="14.25" customHeight="1" x14ac:dyDescent="0.3">
      <c r="A34" s="64" t="s">
        <v>247</v>
      </c>
      <c r="B34" s="65">
        <v>46056</v>
      </c>
      <c r="C34" s="66">
        <v>1</v>
      </c>
      <c r="D34" s="66">
        <v>0</v>
      </c>
      <c r="E34" s="64" t="s">
        <v>120</v>
      </c>
      <c r="F34" s="64" t="s">
        <v>200</v>
      </c>
      <c r="G34" s="64" t="s">
        <v>7</v>
      </c>
      <c r="H34" s="64" t="s">
        <v>260</v>
      </c>
      <c r="I34" s="64" t="s">
        <v>9</v>
      </c>
      <c r="J34" s="64" t="s">
        <v>248</v>
      </c>
      <c r="K34" s="64" t="s">
        <v>43</v>
      </c>
    </row>
    <row r="35" spans="1:19" s="2" customFormat="1" ht="14.25" customHeight="1" x14ac:dyDescent="0.3">
      <c r="A35" s="64" t="s">
        <v>249</v>
      </c>
      <c r="B35" s="65">
        <v>46055</v>
      </c>
      <c r="C35" s="66">
        <v>2</v>
      </c>
      <c r="D35" s="66">
        <v>0</v>
      </c>
      <c r="E35" s="64" t="s">
        <v>45</v>
      </c>
      <c r="F35" s="64" t="s">
        <v>200</v>
      </c>
      <c r="G35" s="64" t="s">
        <v>7</v>
      </c>
      <c r="H35" s="64" t="s">
        <v>139</v>
      </c>
      <c r="I35" s="64" t="s">
        <v>20</v>
      </c>
      <c r="J35" s="64" t="s">
        <v>33</v>
      </c>
      <c r="K35" s="64" t="s">
        <v>250</v>
      </c>
    </row>
    <row r="36" spans="1:19" s="2" customFormat="1" ht="14.25" customHeight="1" x14ac:dyDescent="0.3">
      <c r="A36" s="64" t="s">
        <v>257</v>
      </c>
      <c r="B36" s="65">
        <v>46059</v>
      </c>
      <c r="C36" s="66">
        <v>1</v>
      </c>
      <c r="D36" s="66">
        <v>0</v>
      </c>
      <c r="E36" s="64" t="s">
        <v>258</v>
      </c>
      <c r="F36" s="64" t="s">
        <v>98</v>
      </c>
      <c r="G36" s="64" t="s">
        <v>7</v>
      </c>
      <c r="H36" s="64" t="s">
        <v>18</v>
      </c>
      <c r="I36" s="64" t="s">
        <v>56</v>
      </c>
      <c r="J36" s="64" t="s">
        <v>134</v>
      </c>
      <c r="K36" s="64" t="s">
        <v>13</v>
      </c>
    </row>
    <row r="37" spans="1:19" s="2" customFormat="1" ht="14.25" customHeight="1" x14ac:dyDescent="0.3">
      <c r="A37" s="64" t="s">
        <v>261</v>
      </c>
      <c r="B37" s="65">
        <v>46066</v>
      </c>
      <c r="C37" s="66">
        <v>1</v>
      </c>
      <c r="D37" s="66">
        <v>0</v>
      </c>
      <c r="E37" s="64" t="s">
        <v>262</v>
      </c>
      <c r="F37" s="64" t="s">
        <v>98</v>
      </c>
      <c r="G37" s="64" t="s">
        <v>7</v>
      </c>
      <c r="H37" s="64" t="s">
        <v>17</v>
      </c>
      <c r="I37" s="64" t="s">
        <v>9</v>
      </c>
      <c r="J37" s="64" t="s">
        <v>191</v>
      </c>
      <c r="K37" s="64" t="s">
        <v>13</v>
      </c>
    </row>
    <row r="38" spans="1:19" ht="15" thickBot="1" x14ac:dyDescent="0.35">
      <c r="A38" s="40"/>
      <c r="B38" s="41"/>
      <c r="C38" s="42"/>
      <c r="D38" s="42"/>
      <c r="E38" s="40"/>
      <c r="F38" s="40"/>
      <c r="G38" s="40"/>
      <c r="H38" s="40"/>
      <c r="I38" s="40"/>
      <c r="J38" s="40"/>
      <c r="K38" s="40"/>
      <c r="P38" s="3"/>
      <c r="Q38" s="3"/>
      <c r="R38" s="4"/>
      <c r="S38" s="4"/>
    </row>
    <row r="39" spans="1:19" ht="15" thickBot="1" x14ac:dyDescent="0.35">
      <c r="B39" s="34" t="s">
        <v>31</v>
      </c>
      <c r="C39" s="12">
        <f>SUM(C4:C35)-SUM(D4:D35)</f>
        <v>74</v>
      </c>
      <c r="D39" s="29"/>
      <c r="F39" s="35" t="s">
        <v>57</v>
      </c>
      <c r="G39" s="36">
        <f>COUNTIF(I4:I35,"Pending")</f>
        <v>5</v>
      </c>
      <c r="I39" s="38" t="s">
        <v>58</v>
      </c>
      <c r="J39" s="39">
        <f>C39-G39</f>
        <v>69</v>
      </c>
    </row>
    <row r="40" spans="1:19" x14ac:dyDescent="0.3">
      <c r="G40" s="3"/>
      <c r="H40" s="4"/>
      <c r="I40" s="3"/>
    </row>
    <row r="41" spans="1:19" hidden="1" x14ac:dyDescent="0.3">
      <c r="D41" s="13"/>
    </row>
    <row r="42" spans="1:19" s="6" customFormat="1" ht="28.8" x14ac:dyDescent="0.3">
      <c r="A42" s="28" t="s">
        <v>0</v>
      </c>
      <c r="B42" s="28" t="s">
        <v>1</v>
      </c>
      <c r="C42" s="28" t="s">
        <v>2</v>
      </c>
      <c r="D42" s="28" t="s">
        <v>3</v>
      </c>
      <c r="E42" s="28" t="s">
        <v>4</v>
      </c>
      <c r="F42" s="28" t="s">
        <v>51</v>
      </c>
      <c r="G42" s="28" t="s">
        <v>52</v>
      </c>
      <c r="H42" s="28" t="s">
        <v>5</v>
      </c>
      <c r="I42" s="28" t="s">
        <v>53</v>
      </c>
      <c r="J42" s="28" t="s">
        <v>27</v>
      </c>
      <c r="K42" s="28" t="s">
        <v>6</v>
      </c>
    </row>
    <row r="43" spans="1:19" s="14" customFormat="1" x14ac:dyDescent="0.3">
      <c r="A43" s="64" t="s">
        <v>74</v>
      </c>
      <c r="B43" s="65">
        <v>46056</v>
      </c>
      <c r="C43" s="66">
        <v>1</v>
      </c>
      <c r="D43" s="66">
        <v>0</v>
      </c>
      <c r="E43" s="64" t="s">
        <v>75</v>
      </c>
      <c r="F43" s="64" t="s">
        <v>98</v>
      </c>
      <c r="G43" s="64" t="s">
        <v>32</v>
      </c>
      <c r="H43" s="64" t="s">
        <v>76</v>
      </c>
      <c r="I43" s="64" t="s">
        <v>20</v>
      </c>
      <c r="J43" s="64" t="s">
        <v>77</v>
      </c>
      <c r="K43" s="64" t="s">
        <v>13</v>
      </c>
    </row>
    <row r="44" spans="1:19" s="14" customFormat="1" x14ac:dyDescent="0.3">
      <c r="A44" s="64" t="s">
        <v>170</v>
      </c>
      <c r="B44" s="65">
        <v>46013</v>
      </c>
      <c r="C44" s="66">
        <v>1</v>
      </c>
      <c r="D44" s="66">
        <v>0</v>
      </c>
      <c r="E44" s="64" t="s">
        <v>171</v>
      </c>
      <c r="F44" s="64" t="s">
        <v>200</v>
      </c>
      <c r="G44" s="64" t="s">
        <v>32</v>
      </c>
      <c r="H44" s="64" t="s">
        <v>148</v>
      </c>
      <c r="I44" s="64" t="s">
        <v>20</v>
      </c>
      <c r="J44" s="64" t="s">
        <v>105</v>
      </c>
      <c r="K44" s="64" t="s">
        <v>19</v>
      </c>
    </row>
    <row r="45" spans="1:19" s="14" customFormat="1" ht="15" customHeight="1" x14ac:dyDescent="0.3">
      <c r="A45" s="64" t="s">
        <v>92</v>
      </c>
      <c r="B45" s="65">
        <v>46056</v>
      </c>
      <c r="C45" s="66">
        <v>1</v>
      </c>
      <c r="D45" s="66">
        <v>0</v>
      </c>
      <c r="E45" s="64" t="s">
        <v>166</v>
      </c>
      <c r="F45" s="64" t="s">
        <v>98</v>
      </c>
      <c r="G45" s="64" t="s">
        <v>32</v>
      </c>
      <c r="H45" s="64" t="s">
        <v>94</v>
      </c>
      <c r="I45" s="64" t="s">
        <v>20</v>
      </c>
      <c r="J45" s="64" t="s">
        <v>166</v>
      </c>
      <c r="K45" s="64" t="s">
        <v>91</v>
      </c>
    </row>
    <row r="46" spans="1:19" s="14" customFormat="1" ht="15" customHeight="1" x14ac:dyDescent="0.3">
      <c r="A46" s="64" t="s">
        <v>99</v>
      </c>
      <c r="B46" s="65">
        <v>46056</v>
      </c>
      <c r="C46" s="66">
        <v>1</v>
      </c>
      <c r="D46" s="66">
        <v>0</v>
      </c>
      <c r="E46" s="64" t="s">
        <v>166</v>
      </c>
      <c r="F46" s="64" t="s">
        <v>98</v>
      </c>
      <c r="G46" s="64" t="s">
        <v>32</v>
      </c>
      <c r="H46" s="64" t="s">
        <v>44</v>
      </c>
      <c r="I46" s="64" t="s">
        <v>20</v>
      </c>
      <c r="J46" s="64" t="s">
        <v>166</v>
      </c>
      <c r="K46" s="64" t="s">
        <v>13</v>
      </c>
    </row>
    <row r="47" spans="1:19" s="18" customFormat="1" ht="15" customHeight="1" x14ac:dyDescent="0.3">
      <c r="A47" s="64" t="s">
        <v>172</v>
      </c>
      <c r="B47" s="65">
        <v>46056</v>
      </c>
      <c r="C47" s="66">
        <v>1</v>
      </c>
      <c r="D47" s="66">
        <v>0</v>
      </c>
      <c r="E47" s="64" t="s">
        <v>173</v>
      </c>
      <c r="F47" s="64" t="s">
        <v>98</v>
      </c>
      <c r="G47" s="64" t="s">
        <v>32</v>
      </c>
      <c r="H47" s="64" t="s">
        <v>33</v>
      </c>
      <c r="I47" s="64" t="s">
        <v>20</v>
      </c>
      <c r="J47" s="64" t="s">
        <v>175</v>
      </c>
      <c r="K47" s="64" t="s">
        <v>176</v>
      </c>
    </row>
    <row r="48" spans="1:19" s="18" customFormat="1" ht="15" customHeight="1" thickBot="1" x14ac:dyDescent="0.35">
      <c r="A48" s="70"/>
      <c r="B48" s="71"/>
      <c r="C48" s="72"/>
      <c r="D48" s="72"/>
      <c r="E48" s="70"/>
      <c r="F48" s="70"/>
      <c r="G48" s="70"/>
      <c r="H48" s="70"/>
      <c r="I48" s="70"/>
      <c r="J48" s="70"/>
      <c r="K48" s="70"/>
    </row>
    <row r="49" spans="1:19" ht="15" hidden="1" thickBot="1" x14ac:dyDescent="0.35">
      <c r="A49" s="51"/>
      <c r="B49" s="52"/>
      <c r="C49" s="53"/>
      <c r="D49" s="53"/>
      <c r="E49" s="51"/>
      <c r="F49" s="51"/>
      <c r="G49" s="51"/>
      <c r="H49" s="51"/>
      <c r="I49" s="51"/>
      <c r="J49" s="51"/>
      <c r="K49" s="2"/>
    </row>
    <row r="50" spans="1:19" ht="15" thickBot="1" x14ac:dyDescent="0.35">
      <c r="B50" s="60" t="s">
        <v>34</v>
      </c>
      <c r="C50" s="61">
        <f>SUM(C43:C47)-SUM(D43:D47)</f>
        <v>5</v>
      </c>
      <c r="E50" s="2"/>
      <c r="F50" s="2"/>
      <c r="H50" s="2"/>
      <c r="J50" s="2"/>
      <c r="K50" s="2"/>
    </row>
    <row r="51" spans="1:19" x14ac:dyDescent="0.3">
      <c r="E51" s="2"/>
      <c r="F51" s="2"/>
      <c r="H51" s="2"/>
      <c r="J51" s="2"/>
      <c r="K51" s="2"/>
    </row>
    <row r="52" spans="1:19" hidden="1" x14ac:dyDescent="0.3">
      <c r="E52" s="2"/>
      <c r="F52" s="2"/>
      <c r="H52" s="2"/>
      <c r="J52" s="2"/>
      <c r="K52" s="2"/>
    </row>
    <row r="53" spans="1:19" s="2" customFormat="1" ht="34.35" customHeight="1" x14ac:dyDescent="0.3">
      <c r="A53" s="62" t="s">
        <v>0</v>
      </c>
      <c r="B53" s="62" t="s">
        <v>1</v>
      </c>
      <c r="C53" s="62" t="s">
        <v>2</v>
      </c>
      <c r="D53" s="62" t="s">
        <v>3</v>
      </c>
      <c r="E53" s="62" t="s">
        <v>4</v>
      </c>
      <c r="F53" s="62" t="s">
        <v>51</v>
      </c>
      <c r="G53" s="62" t="s">
        <v>52</v>
      </c>
      <c r="H53" s="62" t="s">
        <v>5</v>
      </c>
      <c r="I53" s="62" t="s">
        <v>53</v>
      </c>
      <c r="J53" s="62" t="s">
        <v>27</v>
      </c>
      <c r="K53" s="62" t="s">
        <v>6</v>
      </c>
    </row>
    <row r="54" spans="1:19" x14ac:dyDescent="0.3">
      <c r="A54" s="64" t="s">
        <v>163</v>
      </c>
      <c r="B54" s="65">
        <v>46050</v>
      </c>
      <c r="C54" s="66">
        <v>1</v>
      </c>
      <c r="D54" s="66">
        <v>0</v>
      </c>
      <c r="E54" s="64" t="s">
        <v>164</v>
      </c>
      <c r="F54" s="64" t="s">
        <v>98</v>
      </c>
      <c r="G54" s="64" t="s">
        <v>55</v>
      </c>
      <c r="H54" s="64" t="s">
        <v>17</v>
      </c>
      <c r="I54" s="64" t="s">
        <v>20</v>
      </c>
      <c r="J54" s="64" t="s">
        <v>165</v>
      </c>
      <c r="K54" s="64" t="s">
        <v>13</v>
      </c>
      <c r="R54" s="4"/>
      <c r="S54" s="4"/>
    </row>
    <row r="55" spans="1:19" x14ac:dyDescent="0.3">
      <c r="A55" s="64" t="s">
        <v>243</v>
      </c>
      <c r="B55" s="65">
        <v>46050</v>
      </c>
      <c r="C55" s="66">
        <v>1</v>
      </c>
      <c r="D55" s="66">
        <v>0</v>
      </c>
      <c r="E55" s="64" t="s">
        <v>244</v>
      </c>
      <c r="F55" s="64" t="s">
        <v>98</v>
      </c>
      <c r="G55" s="64" t="s">
        <v>55</v>
      </c>
      <c r="H55" s="64" t="s">
        <v>102</v>
      </c>
      <c r="I55" s="64" t="s">
        <v>20</v>
      </c>
      <c r="J55" s="64" t="s">
        <v>103</v>
      </c>
      <c r="K55" s="64" t="s">
        <v>21</v>
      </c>
      <c r="R55" s="4"/>
      <c r="S55" s="4"/>
    </row>
    <row r="56" spans="1:19" x14ac:dyDescent="0.3">
      <c r="A56" s="64" t="s">
        <v>253</v>
      </c>
      <c r="B56" s="65">
        <v>46051</v>
      </c>
      <c r="C56" s="66">
        <v>1</v>
      </c>
      <c r="D56" s="66">
        <v>0</v>
      </c>
      <c r="E56" s="64" t="s">
        <v>244</v>
      </c>
      <c r="F56" s="64" t="s">
        <v>98</v>
      </c>
      <c r="G56" s="64" t="s">
        <v>55</v>
      </c>
      <c r="H56" s="64" t="s">
        <v>33</v>
      </c>
      <c r="I56" s="64" t="s">
        <v>20</v>
      </c>
      <c r="J56" s="64" t="s">
        <v>103</v>
      </c>
      <c r="K56" s="64" t="s">
        <v>21</v>
      </c>
      <c r="R56" s="4"/>
      <c r="S56" s="4"/>
    </row>
    <row r="57" spans="1:19" x14ac:dyDescent="0.3">
      <c r="A57" s="64" t="s">
        <v>254</v>
      </c>
      <c r="B57" s="65">
        <v>46051</v>
      </c>
      <c r="C57" s="66">
        <v>1</v>
      </c>
      <c r="D57" s="66">
        <v>0</v>
      </c>
      <c r="E57" s="64" t="s">
        <v>101</v>
      </c>
      <c r="F57" s="64" t="s">
        <v>98</v>
      </c>
      <c r="G57" s="64" t="s">
        <v>55</v>
      </c>
      <c r="H57" s="64" t="s">
        <v>33</v>
      </c>
      <c r="I57" s="64" t="s">
        <v>20</v>
      </c>
      <c r="J57" s="64" t="s">
        <v>103</v>
      </c>
      <c r="K57" s="64" t="s">
        <v>21</v>
      </c>
      <c r="R57" s="4"/>
      <c r="S57" s="4"/>
    </row>
    <row r="58" spans="1:19" x14ac:dyDescent="0.3">
      <c r="A58" s="64" t="s">
        <v>264</v>
      </c>
      <c r="B58" s="65">
        <v>46055</v>
      </c>
      <c r="C58" s="66">
        <v>1</v>
      </c>
      <c r="D58" s="66">
        <v>0</v>
      </c>
      <c r="E58" s="64" t="s">
        <v>29</v>
      </c>
      <c r="F58" s="64" t="s">
        <v>98</v>
      </c>
      <c r="G58" s="64" t="s">
        <v>55</v>
      </c>
      <c r="H58" s="64" t="s">
        <v>33</v>
      </c>
      <c r="I58" s="64" t="s">
        <v>20</v>
      </c>
      <c r="J58" s="64" t="s">
        <v>65</v>
      </c>
      <c r="K58" s="64" t="s">
        <v>48</v>
      </c>
      <c r="R58" s="4"/>
      <c r="S58" s="4"/>
    </row>
    <row r="59" spans="1:19" x14ac:dyDescent="0.3">
      <c r="A59" s="64" t="s">
        <v>265</v>
      </c>
      <c r="B59" s="65">
        <v>46055</v>
      </c>
      <c r="C59" s="66">
        <v>1</v>
      </c>
      <c r="D59" s="66">
        <v>0</v>
      </c>
      <c r="E59" s="64" t="s">
        <v>29</v>
      </c>
      <c r="F59" s="64" t="s">
        <v>98</v>
      </c>
      <c r="G59" s="64" t="s">
        <v>55</v>
      </c>
      <c r="H59" s="64" t="s">
        <v>33</v>
      </c>
      <c r="I59" s="64" t="s">
        <v>20</v>
      </c>
      <c r="J59" s="64" t="s">
        <v>65</v>
      </c>
      <c r="K59" s="64" t="s">
        <v>48</v>
      </c>
      <c r="R59" s="4"/>
      <c r="S59" s="4"/>
    </row>
    <row r="60" spans="1:19" x14ac:dyDescent="0.3">
      <c r="A60" s="64" t="s">
        <v>267</v>
      </c>
      <c r="B60" s="65">
        <v>46059</v>
      </c>
      <c r="C60" s="66">
        <v>1</v>
      </c>
      <c r="D60" s="66">
        <v>0</v>
      </c>
      <c r="E60" s="64" t="s">
        <v>268</v>
      </c>
      <c r="F60" s="64" t="s">
        <v>98</v>
      </c>
      <c r="G60" s="64" t="s">
        <v>55</v>
      </c>
      <c r="H60" s="64" t="s">
        <v>33</v>
      </c>
      <c r="I60" s="64" t="s">
        <v>20</v>
      </c>
      <c r="J60" s="64" t="s">
        <v>269</v>
      </c>
      <c r="K60" s="64" t="s">
        <v>22</v>
      </c>
      <c r="R60" s="4"/>
      <c r="S60" s="4"/>
    </row>
    <row r="61" spans="1:19" x14ac:dyDescent="0.3">
      <c r="A61" s="64" t="s">
        <v>270</v>
      </c>
      <c r="B61" s="65">
        <v>46063</v>
      </c>
      <c r="C61" s="66">
        <v>1</v>
      </c>
      <c r="D61" s="66">
        <v>0</v>
      </c>
      <c r="E61" s="64" t="s">
        <v>25</v>
      </c>
      <c r="F61" s="64" t="s">
        <v>200</v>
      </c>
      <c r="G61" s="64" t="s">
        <v>55</v>
      </c>
      <c r="H61" s="64" t="s">
        <v>33</v>
      </c>
      <c r="I61" s="64" t="s">
        <v>20</v>
      </c>
      <c r="J61" s="64" t="s">
        <v>271</v>
      </c>
      <c r="K61" s="64" t="s">
        <v>43</v>
      </c>
      <c r="R61" s="4"/>
      <c r="S61" s="4"/>
    </row>
    <row r="62" spans="1:19" s="2" customFormat="1" x14ac:dyDescent="0.3">
      <c r="A62" s="64" t="s">
        <v>275</v>
      </c>
      <c r="B62" s="65">
        <v>46065</v>
      </c>
      <c r="C62" s="66">
        <v>3</v>
      </c>
      <c r="D62" s="66">
        <v>0</v>
      </c>
      <c r="E62" s="64" t="s">
        <v>29</v>
      </c>
      <c r="F62" s="64" t="s">
        <v>98</v>
      </c>
      <c r="G62" s="64" t="s">
        <v>55</v>
      </c>
      <c r="H62" s="64" t="s">
        <v>33</v>
      </c>
      <c r="I62" s="64" t="s">
        <v>20</v>
      </c>
      <c r="J62" s="64" t="s">
        <v>65</v>
      </c>
      <c r="K62" s="64" t="s">
        <v>48</v>
      </c>
      <c r="L62" s="4"/>
      <c r="M62" s="4"/>
      <c r="N62" s="4"/>
      <c r="O62" s="4"/>
      <c r="P62" s="4"/>
      <c r="Q62" s="4"/>
      <c r="R62" s="4"/>
    </row>
    <row r="63" spans="1:19" s="2" customFormat="1" hidden="1" x14ac:dyDescent="0.3">
      <c r="A63" s="63"/>
      <c r="B63" s="4"/>
      <c r="C63" s="4"/>
      <c r="D63" s="4"/>
      <c r="E63" s="4"/>
      <c r="F63" s="4"/>
      <c r="G63" s="3"/>
      <c r="H63" s="3"/>
      <c r="I63" s="4"/>
      <c r="J63" s="4"/>
      <c r="K63" s="4"/>
      <c r="L63" s="4"/>
      <c r="M63" s="4"/>
      <c r="N63" s="4"/>
      <c r="O63" s="4"/>
      <c r="P63" s="4"/>
      <c r="Q63" s="4"/>
      <c r="R63" s="4"/>
    </row>
    <row r="64" spans="1:19" s="2" customFormat="1" hidden="1" x14ac:dyDescent="0.3">
      <c r="A64" s="4"/>
      <c r="B64" s="4"/>
      <c r="C64" s="4"/>
      <c r="D64" s="4"/>
      <c r="E64" s="4"/>
      <c r="F64" s="4"/>
      <c r="G64" s="3"/>
      <c r="H64" s="3"/>
      <c r="I64" s="4"/>
      <c r="J64" s="4"/>
      <c r="K64" s="4"/>
      <c r="L64" s="4"/>
      <c r="M64" s="4"/>
      <c r="N64" s="4"/>
      <c r="O64" s="4"/>
      <c r="P64" s="4"/>
      <c r="Q64" s="4"/>
      <c r="R64" s="4"/>
    </row>
    <row r="65" spans="1:29" s="2" customFormat="1" hidden="1" x14ac:dyDescent="0.3">
      <c r="A65" s="4"/>
      <c r="B65" s="4"/>
      <c r="C65" s="4"/>
      <c r="D65" s="4"/>
      <c r="E65" s="4"/>
      <c r="F65" s="4"/>
      <c r="G65" s="3"/>
      <c r="H65" s="3"/>
      <c r="I65" s="4"/>
      <c r="J65" s="4"/>
      <c r="K65" s="4"/>
      <c r="L65" s="4"/>
      <c r="M65" s="4"/>
      <c r="N65" s="4"/>
      <c r="O65" s="4"/>
      <c r="P65" s="4"/>
      <c r="Q65" s="4"/>
      <c r="R65" s="4"/>
    </row>
    <row r="66" spans="1:29" s="2" customFormat="1" hidden="1" x14ac:dyDescent="0.3">
      <c r="A66" s="19"/>
      <c r="B66" s="20"/>
      <c r="C66" s="21"/>
      <c r="D66" s="21"/>
      <c r="E66" s="19"/>
      <c r="F66" s="19"/>
      <c r="G66" s="19"/>
      <c r="H66" s="19"/>
      <c r="I66" s="19"/>
      <c r="J66" s="19"/>
      <c r="K66" s="19"/>
      <c r="L66" s="4"/>
      <c r="M66" s="4"/>
      <c r="N66" s="4"/>
      <c r="O66" s="4"/>
      <c r="P66" s="4"/>
      <c r="Q66" s="4"/>
      <c r="R66" s="3"/>
      <c r="S66" s="3"/>
      <c r="T66" s="4"/>
      <c r="U66" s="4"/>
      <c r="V66" s="4"/>
      <c r="W66" s="4"/>
      <c r="X66" s="4"/>
      <c r="Y66" s="4"/>
      <c r="Z66" s="4"/>
      <c r="AA66" s="4"/>
      <c r="AB66" s="4"/>
      <c r="AC66" s="4"/>
    </row>
    <row r="67" spans="1:29" s="2" customFormat="1" hidden="1" x14ac:dyDescent="0.3">
      <c r="A67" s="19"/>
      <c r="B67" s="20"/>
      <c r="C67" s="21"/>
      <c r="D67" s="21"/>
      <c r="E67" s="19"/>
      <c r="F67" s="19"/>
      <c r="G67" s="19"/>
      <c r="H67" s="19"/>
      <c r="I67" s="19"/>
      <c r="J67" s="19"/>
      <c r="K67" s="19"/>
      <c r="L67" s="4"/>
      <c r="M67" s="4"/>
      <c r="N67" s="4"/>
      <c r="O67" s="4"/>
      <c r="P67" s="4"/>
      <c r="Q67" s="4"/>
      <c r="R67" s="3"/>
      <c r="S67" s="3"/>
      <c r="T67" s="4"/>
      <c r="U67" s="4"/>
      <c r="V67" s="4"/>
      <c r="W67" s="4"/>
      <c r="X67" s="4"/>
      <c r="Y67" s="4"/>
      <c r="Z67" s="4"/>
      <c r="AA67" s="4"/>
      <c r="AB67" s="4"/>
      <c r="AC67" s="4"/>
    </row>
    <row r="68" spans="1:29" s="2" customFormat="1" ht="15" thickBot="1" x14ac:dyDescent="0.35">
      <c r="A68" s="51"/>
      <c r="B68" s="52"/>
      <c r="C68" s="53"/>
      <c r="D68" s="53"/>
      <c r="E68" s="51"/>
      <c r="F68" s="51"/>
      <c r="G68" s="51"/>
      <c r="H68" s="51"/>
      <c r="I68" s="51"/>
      <c r="J68" s="51"/>
      <c r="K68" s="51"/>
      <c r="L68" s="4"/>
      <c r="M68" s="4"/>
      <c r="N68" s="4"/>
      <c r="O68" s="4"/>
      <c r="P68" s="4"/>
      <c r="Q68" s="4"/>
      <c r="R68" s="3"/>
      <c r="S68" s="3"/>
      <c r="T68" s="4"/>
      <c r="U68" s="4"/>
      <c r="V68" s="4"/>
      <c r="W68" s="4"/>
      <c r="X68" s="4"/>
      <c r="Y68" s="4"/>
      <c r="Z68" s="4"/>
      <c r="AA68" s="4"/>
      <c r="AB68" s="4"/>
      <c r="AC68" s="4"/>
    </row>
    <row r="69" spans="1:29" ht="15" thickBot="1" x14ac:dyDescent="0.35">
      <c r="B69" s="38" t="s">
        <v>266</v>
      </c>
      <c r="C69" s="22">
        <v>12</v>
      </c>
    </row>
  </sheetData>
  <autoFilter ref="A3:J29" xr:uid="{6E392464-0CD5-4B6C-9B5A-A4EF4B03C567}"/>
  <conditionalFormatting sqref="F1:F37 F40:F1048576">
    <cfRule type="cellIs" dxfId="43" priority="3" operator="equal">
      <formula>"Non-Billable"</formula>
    </cfRule>
    <cfRule type="cellIs" dxfId="42" priority="4" operator="equal">
      <formula>"Billable"</formula>
    </cfRule>
  </conditionalFormatting>
  <conditionalFormatting sqref="F38">
    <cfRule type="cellIs" dxfId="41" priority="12" operator="equal">
      <formula>"Not Accepting Application"</formula>
    </cfRule>
    <cfRule type="cellIs" dxfId="40" priority="13" operator="equal">
      <formula>"Y"</formula>
    </cfRule>
  </conditionalFormatting>
  <conditionalFormatting sqref="H1:H2 H4:H37 F38 H39:H41 H43:H52 H66:H1048576">
    <cfRule type="cellIs" dxfId="39" priority="10" operator="equal">
      <formula>"Not accpeting applications"</formula>
    </cfRule>
  </conditionalFormatting>
  <conditionalFormatting sqref="H1:H2 H4:H37 H39:H41 H43:H52 V54:V65 AG66:AG69 H66:H1048576">
    <cfRule type="cellIs" dxfId="38" priority="8" operator="equal">
      <formula>"Not Accepting Applications"</formula>
    </cfRule>
  </conditionalFormatting>
  <conditionalFormatting sqref="H4:H37">
    <cfRule type="cellIs" dxfId="37" priority="11" operator="equal">
      <formula>"Accepting Applications"</formula>
    </cfRule>
  </conditionalFormatting>
  <conditionalFormatting sqref="H43:H45">
    <cfRule type="cellIs" dxfId="36" priority="9" operator="equal">
      <formula>"Not accepting applications"</formula>
    </cfRule>
  </conditionalFormatting>
  <conditionalFormatting sqref="H47:H48">
    <cfRule type="cellIs" dxfId="35" priority="14" operator="equal">
      <formula>"Not Accepting Application"</formula>
    </cfRule>
    <cfRule type="cellIs" dxfId="34" priority="15" operator="equal">
      <formula>"Accepting Applications"</formula>
    </cfRule>
    <cfRule type="cellIs" dxfId="33" priority="16" operator="equal">
      <formula>"Y"</formula>
    </cfRule>
  </conditionalFormatting>
  <conditionalFormatting sqref="I1:I37 F38:G38 I40:I1048576">
    <cfRule type="cellIs" dxfId="32" priority="6" operator="equal">
      <formula>"Accepting Applications"</formula>
    </cfRule>
    <cfRule type="cellIs" dxfId="31" priority="7" operator="equal">
      <formula>"Not Accepting Applications"</formula>
    </cfRule>
  </conditionalFormatting>
  <conditionalFormatting sqref="I1:I37 G38 I40:I1048576">
    <cfRule type="cellIs" dxfId="30" priority="5" operator="equal">
      <formula>"Pending"</formula>
    </cfRule>
  </conditionalFormatting>
  <pageMargins left="0.7" right="0.7" top="0.75" bottom="0.75" header="0.3" footer="0.3"/>
  <pageSetup orientation="landscape" horizontalDpi="4294967295" verticalDpi="4294967295"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8F515-D20A-4B27-8EA9-396EDC9B285A}">
  <sheetPr>
    <tabColor theme="2" tint="-9.9978637043366805E-2"/>
  </sheetPr>
  <dimension ref="A1:AC72"/>
  <sheetViews>
    <sheetView showGridLines="0" topLeftCell="A19" zoomScale="80" zoomScaleNormal="80" workbookViewId="0">
      <selection activeCell="A24" sqref="A24:XFD24"/>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0.33333333333333331</v>
      </c>
      <c r="B1" s="37">
        <v>46065</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64" t="s">
        <v>59</v>
      </c>
      <c r="B4" s="65">
        <v>46043</v>
      </c>
      <c r="C4" s="66">
        <v>5</v>
      </c>
      <c r="D4" s="66">
        <v>4</v>
      </c>
      <c r="E4" s="64" t="s">
        <v>46</v>
      </c>
      <c r="F4" s="64" t="s">
        <v>200</v>
      </c>
      <c r="G4" s="64" t="s">
        <v>7</v>
      </c>
      <c r="H4" s="64" t="s">
        <v>18</v>
      </c>
      <c r="I4" s="64" t="s">
        <v>56</v>
      </c>
      <c r="J4" s="64" t="s">
        <v>49</v>
      </c>
      <c r="K4" s="64" t="s">
        <v>48</v>
      </c>
      <c r="AB4" s="2" t="s">
        <v>10</v>
      </c>
      <c r="AC4" s="2" t="s">
        <v>11</v>
      </c>
    </row>
    <row r="5" spans="1:29" s="2" customFormat="1" x14ac:dyDescent="0.3">
      <c r="A5" s="64" t="s">
        <v>81</v>
      </c>
      <c r="B5" s="65">
        <v>46034</v>
      </c>
      <c r="C5" s="66">
        <v>2</v>
      </c>
      <c r="D5" s="66">
        <v>1</v>
      </c>
      <c r="E5" s="64" t="s">
        <v>41</v>
      </c>
      <c r="F5" s="64" t="s">
        <v>98</v>
      </c>
      <c r="G5" s="64" t="s">
        <v>7</v>
      </c>
      <c r="H5" s="64" t="s">
        <v>18</v>
      </c>
      <c r="I5" s="64" t="s">
        <v>56</v>
      </c>
      <c r="J5" s="64" t="s">
        <v>82</v>
      </c>
      <c r="K5" s="64" t="s">
        <v>22</v>
      </c>
      <c r="AB5" s="2" t="s">
        <v>14</v>
      </c>
      <c r="AC5" s="2">
        <v>17</v>
      </c>
    </row>
    <row r="6" spans="1:29" s="2" customFormat="1" x14ac:dyDescent="0.3">
      <c r="A6" s="64" t="s">
        <v>100</v>
      </c>
      <c r="B6" s="65">
        <v>46063</v>
      </c>
      <c r="C6" s="66">
        <v>2</v>
      </c>
      <c r="D6" s="66">
        <v>1</v>
      </c>
      <c r="E6" s="64" t="s">
        <v>101</v>
      </c>
      <c r="F6" s="64" t="s">
        <v>98</v>
      </c>
      <c r="G6" s="64" t="s">
        <v>7</v>
      </c>
      <c r="H6" s="64" t="s">
        <v>235</v>
      </c>
      <c r="I6" s="64" t="s">
        <v>20</v>
      </c>
      <c r="J6" s="64" t="s">
        <v>103</v>
      </c>
      <c r="K6" s="64" t="s">
        <v>21</v>
      </c>
      <c r="N6" s="10"/>
      <c r="AB6" s="2" t="s">
        <v>15</v>
      </c>
      <c r="AC6" s="2">
        <v>3</v>
      </c>
    </row>
    <row r="7" spans="1:29" s="2" customFormat="1" x14ac:dyDescent="0.3">
      <c r="A7" s="64" t="s">
        <v>122</v>
      </c>
      <c r="B7" s="65">
        <v>46063</v>
      </c>
      <c r="C7" s="66">
        <v>2</v>
      </c>
      <c r="D7" s="66">
        <v>1</v>
      </c>
      <c r="E7" s="64" t="s">
        <v>236</v>
      </c>
      <c r="F7" s="64" t="s">
        <v>98</v>
      </c>
      <c r="G7" s="64" t="s">
        <v>7</v>
      </c>
      <c r="H7" s="64" t="s">
        <v>23</v>
      </c>
      <c r="I7" s="64" t="s">
        <v>9</v>
      </c>
      <c r="J7" s="64" t="s">
        <v>121</v>
      </c>
      <c r="K7" s="64" t="s">
        <v>13</v>
      </c>
      <c r="N7" s="10"/>
      <c r="V7" s="11"/>
      <c r="AB7" s="2" t="s">
        <v>16</v>
      </c>
      <c r="AC7" s="2">
        <v>4</v>
      </c>
    </row>
    <row r="8" spans="1:29" s="2" customFormat="1" x14ac:dyDescent="0.3">
      <c r="A8" s="64" t="s">
        <v>128</v>
      </c>
      <c r="B8" s="65">
        <v>46035</v>
      </c>
      <c r="C8" s="66">
        <v>1</v>
      </c>
      <c r="D8" s="66">
        <v>0</v>
      </c>
      <c r="E8" s="64" t="s">
        <v>129</v>
      </c>
      <c r="F8" s="64" t="s">
        <v>200</v>
      </c>
      <c r="G8" s="64" t="s">
        <v>7</v>
      </c>
      <c r="H8" s="64" t="s">
        <v>64</v>
      </c>
      <c r="I8" s="64" t="s">
        <v>9</v>
      </c>
      <c r="J8" s="64" t="s">
        <v>65</v>
      </c>
      <c r="K8" s="64" t="s">
        <v>48</v>
      </c>
      <c r="N8" s="10"/>
    </row>
    <row r="9" spans="1:29" s="2" customFormat="1" x14ac:dyDescent="0.3">
      <c r="A9" s="64" t="s">
        <v>138</v>
      </c>
      <c r="B9" s="65">
        <v>46006</v>
      </c>
      <c r="C9" s="66">
        <v>5</v>
      </c>
      <c r="D9" s="66">
        <v>0</v>
      </c>
      <c r="E9" s="64" t="s">
        <v>45</v>
      </c>
      <c r="F9" s="64" t="s">
        <v>200</v>
      </c>
      <c r="G9" s="64" t="s">
        <v>7</v>
      </c>
      <c r="H9" s="64" t="s">
        <v>139</v>
      </c>
      <c r="I9" s="64" t="s">
        <v>20</v>
      </c>
      <c r="J9" s="64" t="s">
        <v>140</v>
      </c>
      <c r="K9" s="64" t="s">
        <v>22</v>
      </c>
    </row>
    <row r="10" spans="1:29" s="2" customFormat="1" x14ac:dyDescent="0.3">
      <c r="A10" s="64" t="s">
        <v>141</v>
      </c>
      <c r="B10" s="65">
        <v>46048</v>
      </c>
      <c r="C10" s="66">
        <v>4</v>
      </c>
      <c r="D10" s="66">
        <v>0</v>
      </c>
      <c r="E10" s="64" t="s">
        <v>142</v>
      </c>
      <c r="F10" s="64" t="s">
        <v>200</v>
      </c>
      <c r="G10" s="64" t="s">
        <v>7</v>
      </c>
      <c r="H10" s="64" t="s">
        <v>139</v>
      </c>
      <c r="I10" s="64" t="s">
        <v>20</v>
      </c>
      <c r="J10" s="64" t="s">
        <v>140</v>
      </c>
      <c r="K10" s="64" t="s">
        <v>22</v>
      </c>
    </row>
    <row r="11" spans="1:29" s="2" customFormat="1" x14ac:dyDescent="0.3">
      <c r="A11" s="64" t="s">
        <v>143</v>
      </c>
      <c r="B11" s="65">
        <v>46014</v>
      </c>
      <c r="C11" s="66">
        <v>2</v>
      </c>
      <c r="D11" s="66">
        <v>1</v>
      </c>
      <c r="E11" s="64" t="s">
        <v>29</v>
      </c>
      <c r="F11" s="64" t="s">
        <v>200</v>
      </c>
      <c r="G11" s="64" t="s">
        <v>7</v>
      </c>
      <c r="H11" s="64" t="s">
        <v>18</v>
      </c>
      <c r="I11" s="64" t="s">
        <v>56</v>
      </c>
      <c r="J11" s="64" t="s">
        <v>140</v>
      </c>
      <c r="K11" s="64" t="s">
        <v>22</v>
      </c>
    </row>
    <row r="12" spans="1:29" s="2" customFormat="1" x14ac:dyDescent="0.3">
      <c r="A12" s="64" t="s">
        <v>152</v>
      </c>
      <c r="B12" s="65">
        <v>46006</v>
      </c>
      <c r="C12" s="66">
        <v>1</v>
      </c>
      <c r="D12" s="66">
        <v>0</v>
      </c>
      <c r="E12" s="64" t="s">
        <v>153</v>
      </c>
      <c r="F12" s="64" t="s">
        <v>200</v>
      </c>
      <c r="G12" s="64" t="s">
        <v>7</v>
      </c>
      <c r="H12" s="64" t="s">
        <v>33</v>
      </c>
      <c r="I12" s="64" t="s">
        <v>20</v>
      </c>
      <c r="J12" s="64" t="s">
        <v>77</v>
      </c>
      <c r="K12" s="64" t="s">
        <v>13</v>
      </c>
    </row>
    <row r="13" spans="1:29" s="2" customFormat="1" x14ac:dyDescent="0.3">
      <c r="A13" s="64" t="s">
        <v>154</v>
      </c>
      <c r="B13" s="65">
        <v>46063</v>
      </c>
      <c r="C13" s="66">
        <v>1</v>
      </c>
      <c r="D13" s="66">
        <v>0</v>
      </c>
      <c r="E13" s="64" t="s">
        <v>155</v>
      </c>
      <c r="F13" s="64" t="s">
        <v>98</v>
      </c>
      <c r="G13" s="64" t="s">
        <v>7</v>
      </c>
      <c r="H13" s="64" t="s">
        <v>47</v>
      </c>
      <c r="I13" s="64" t="s">
        <v>9</v>
      </c>
      <c r="J13" s="64" t="s">
        <v>156</v>
      </c>
      <c r="K13" s="64" t="s">
        <v>13</v>
      </c>
    </row>
    <row r="14" spans="1:29" s="2" customFormat="1" x14ac:dyDescent="0.3">
      <c r="A14" s="64" t="s">
        <v>157</v>
      </c>
      <c r="B14" s="65">
        <v>46063</v>
      </c>
      <c r="C14" s="66">
        <v>1</v>
      </c>
      <c r="D14" s="66">
        <v>0</v>
      </c>
      <c r="E14" s="64" t="s">
        <v>158</v>
      </c>
      <c r="F14" s="64" t="s">
        <v>98</v>
      </c>
      <c r="G14" s="64" t="s">
        <v>7</v>
      </c>
      <c r="H14" s="64" t="s">
        <v>17</v>
      </c>
      <c r="I14" s="64" t="s">
        <v>9</v>
      </c>
      <c r="J14" s="64" t="s">
        <v>159</v>
      </c>
      <c r="K14" s="64" t="s">
        <v>28</v>
      </c>
    </row>
    <row r="15" spans="1:29" s="2" customFormat="1" x14ac:dyDescent="0.3">
      <c r="A15" s="64" t="s">
        <v>162</v>
      </c>
      <c r="B15" s="65">
        <v>46019</v>
      </c>
      <c r="C15" s="66">
        <v>1</v>
      </c>
      <c r="D15" s="66">
        <v>0</v>
      </c>
      <c r="E15" s="64" t="s">
        <v>166</v>
      </c>
      <c r="F15" s="64" t="s">
        <v>200</v>
      </c>
      <c r="G15" s="64" t="s">
        <v>7</v>
      </c>
      <c r="H15" s="64" t="s">
        <v>33</v>
      </c>
      <c r="I15" s="64" t="s">
        <v>20</v>
      </c>
      <c r="J15" s="64" t="s">
        <v>166</v>
      </c>
      <c r="K15" s="64" t="s">
        <v>13</v>
      </c>
    </row>
    <row r="16" spans="1:29" s="2" customFormat="1" x14ac:dyDescent="0.3">
      <c r="A16" s="64" t="s">
        <v>198</v>
      </c>
      <c r="B16" s="65">
        <v>46045</v>
      </c>
      <c r="C16" s="66">
        <v>1</v>
      </c>
      <c r="D16" s="66">
        <v>0</v>
      </c>
      <c r="E16" s="64" t="s">
        <v>199</v>
      </c>
      <c r="F16" s="64" t="s">
        <v>200</v>
      </c>
      <c r="G16" s="64" t="s">
        <v>7</v>
      </c>
      <c r="H16" s="64" t="s">
        <v>33</v>
      </c>
      <c r="I16" s="64" t="s">
        <v>20</v>
      </c>
      <c r="J16" s="64" t="s">
        <v>12</v>
      </c>
      <c r="K16" s="64" t="s">
        <v>24</v>
      </c>
    </row>
    <row r="17" spans="1:11" s="2" customFormat="1" x14ac:dyDescent="0.3">
      <c r="A17" s="64" t="s">
        <v>202</v>
      </c>
      <c r="B17" s="65">
        <v>46063</v>
      </c>
      <c r="C17" s="66">
        <v>1</v>
      </c>
      <c r="D17" s="66">
        <v>0</v>
      </c>
      <c r="E17" s="64" t="s">
        <v>54</v>
      </c>
      <c r="F17" s="64" t="s">
        <v>98</v>
      </c>
      <c r="G17" s="64" t="s">
        <v>7</v>
      </c>
      <c r="H17" s="64" t="s">
        <v>17</v>
      </c>
      <c r="I17" s="64" t="s">
        <v>9</v>
      </c>
      <c r="J17" s="64" t="s">
        <v>203</v>
      </c>
      <c r="K17" s="64" t="s">
        <v>19</v>
      </c>
    </row>
    <row r="18" spans="1:11" s="2" customFormat="1" x14ac:dyDescent="0.3">
      <c r="A18" s="64" t="s">
        <v>204</v>
      </c>
      <c r="B18" s="65">
        <v>46063</v>
      </c>
      <c r="C18" s="66">
        <v>1</v>
      </c>
      <c r="D18" s="66">
        <v>0</v>
      </c>
      <c r="E18" s="64" t="s">
        <v>205</v>
      </c>
      <c r="F18" s="64" t="s">
        <v>98</v>
      </c>
      <c r="G18" s="64" t="s">
        <v>7</v>
      </c>
      <c r="H18" s="64" t="s">
        <v>17</v>
      </c>
      <c r="I18" s="64" t="s">
        <v>9</v>
      </c>
      <c r="J18" s="64" t="s">
        <v>206</v>
      </c>
      <c r="K18" s="64" t="s">
        <v>13</v>
      </c>
    </row>
    <row r="19" spans="1:11" s="2" customFormat="1" ht="15" customHeight="1" x14ac:dyDescent="0.3">
      <c r="A19" s="64" t="s">
        <v>209</v>
      </c>
      <c r="B19" s="65">
        <v>46063</v>
      </c>
      <c r="C19" s="66">
        <v>1</v>
      </c>
      <c r="D19" s="66">
        <v>0</v>
      </c>
      <c r="E19" s="64" t="s">
        <v>210</v>
      </c>
      <c r="F19" s="64" t="s">
        <v>98</v>
      </c>
      <c r="G19" s="64" t="s">
        <v>7</v>
      </c>
      <c r="H19" s="64" t="s">
        <v>17</v>
      </c>
      <c r="I19" s="64" t="s">
        <v>9</v>
      </c>
      <c r="J19" s="64" t="s">
        <v>206</v>
      </c>
      <c r="K19" s="64" t="s">
        <v>13</v>
      </c>
    </row>
    <row r="20" spans="1:11" s="2" customFormat="1" ht="13.95" customHeight="1" x14ac:dyDescent="0.3">
      <c r="A20" s="64" t="s">
        <v>213</v>
      </c>
      <c r="B20" s="65">
        <v>46063</v>
      </c>
      <c r="C20" s="66">
        <v>2</v>
      </c>
      <c r="D20" s="66">
        <v>0</v>
      </c>
      <c r="E20" s="64" t="s">
        <v>214</v>
      </c>
      <c r="F20" s="64" t="s">
        <v>200</v>
      </c>
      <c r="G20" s="64" t="s">
        <v>7</v>
      </c>
      <c r="H20" s="64" t="s">
        <v>18</v>
      </c>
      <c r="I20" s="64" t="s">
        <v>56</v>
      </c>
      <c r="J20" s="64" t="s">
        <v>215</v>
      </c>
      <c r="K20" s="64" t="s">
        <v>216</v>
      </c>
    </row>
    <row r="21" spans="1:11" s="2" customFormat="1" x14ac:dyDescent="0.3">
      <c r="A21" s="64" t="s">
        <v>217</v>
      </c>
      <c r="B21" s="65">
        <v>46051</v>
      </c>
      <c r="C21" s="66">
        <v>1</v>
      </c>
      <c r="D21" s="66">
        <v>0</v>
      </c>
      <c r="E21" s="64" t="s">
        <v>218</v>
      </c>
      <c r="F21" s="64" t="s">
        <v>200</v>
      </c>
      <c r="G21" s="64" t="s">
        <v>7</v>
      </c>
      <c r="H21" s="64" t="s">
        <v>148</v>
      </c>
      <c r="I21" s="64" t="s">
        <v>9</v>
      </c>
      <c r="J21" s="64" t="s">
        <v>121</v>
      </c>
      <c r="K21" s="64" t="s">
        <v>13</v>
      </c>
    </row>
    <row r="22" spans="1:11" s="2" customFormat="1" x14ac:dyDescent="0.3">
      <c r="A22" s="64" t="s">
        <v>221</v>
      </c>
      <c r="B22" s="65">
        <v>46050</v>
      </c>
      <c r="C22" s="66">
        <v>2</v>
      </c>
      <c r="D22" s="66">
        <v>0</v>
      </c>
      <c r="E22" s="64" t="s">
        <v>201</v>
      </c>
      <c r="F22" s="64" t="s">
        <v>200</v>
      </c>
      <c r="G22" s="64" t="s">
        <v>7</v>
      </c>
      <c r="H22" s="64" t="s">
        <v>47</v>
      </c>
      <c r="I22" s="64" t="s">
        <v>9</v>
      </c>
      <c r="J22" s="64" t="s">
        <v>105</v>
      </c>
      <c r="K22" s="64" t="s">
        <v>43</v>
      </c>
    </row>
    <row r="23" spans="1:11" s="2" customFormat="1" x14ac:dyDescent="0.3">
      <c r="A23" s="64" t="s">
        <v>228</v>
      </c>
      <c r="B23" s="65">
        <v>46045</v>
      </c>
      <c r="C23" s="66">
        <v>1</v>
      </c>
      <c r="D23" s="66">
        <v>0</v>
      </c>
      <c r="E23" s="64" t="s">
        <v>30</v>
      </c>
      <c r="F23" s="64" t="s">
        <v>200</v>
      </c>
      <c r="G23" s="64" t="s">
        <v>7</v>
      </c>
      <c r="H23" s="64" t="s">
        <v>8</v>
      </c>
      <c r="I23" s="64" t="s">
        <v>9</v>
      </c>
      <c r="J23" s="64" t="s">
        <v>12</v>
      </c>
      <c r="K23" s="64" t="s">
        <v>24</v>
      </c>
    </row>
    <row r="24" spans="1:11" s="2" customFormat="1" ht="15" customHeight="1" x14ac:dyDescent="0.3">
      <c r="A24" s="64" t="s">
        <v>229</v>
      </c>
      <c r="B24" s="65">
        <v>46049</v>
      </c>
      <c r="C24" s="66">
        <v>3</v>
      </c>
      <c r="D24" s="66">
        <v>0</v>
      </c>
      <c r="E24" s="64" t="s">
        <v>45</v>
      </c>
      <c r="F24" s="64" t="s">
        <v>200</v>
      </c>
      <c r="G24" s="64" t="s">
        <v>7</v>
      </c>
      <c r="H24" s="64" t="s">
        <v>33</v>
      </c>
      <c r="I24" s="64" t="s">
        <v>20</v>
      </c>
      <c r="J24" s="64" t="s">
        <v>121</v>
      </c>
      <c r="K24" s="64" t="s">
        <v>13</v>
      </c>
    </row>
    <row r="25" spans="1:11" s="2" customFormat="1" x14ac:dyDescent="0.3">
      <c r="A25" s="64" t="s">
        <v>230</v>
      </c>
      <c r="B25" s="65">
        <v>46062</v>
      </c>
      <c r="C25" s="66">
        <v>1</v>
      </c>
      <c r="D25" s="66">
        <v>0</v>
      </c>
      <c r="E25" s="64" t="s">
        <v>263</v>
      </c>
      <c r="F25" s="64" t="s">
        <v>200</v>
      </c>
      <c r="G25" s="64" t="s">
        <v>7</v>
      </c>
      <c r="H25" s="64" t="s">
        <v>17</v>
      </c>
      <c r="I25" s="64" t="s">
        <v>9</v>
      </c>
      <c r="J25" s="64" t="s">
        <v>12</v>
      </c>
      <c r="K25" s="64" t="s">
        <v>24</v>
      </c>
    </row>
    <row r="26" spans="1:11" s="2" customFormat="1" x14ac:dyDescent="0.3">
      <c r="A26" s="64" t="s">
        <v>233</v>
      </c>
      <c r="B26" s="65">
        <v>46050</v>
      </c>
      <c r="C26" s="66">
        <v>3</v>
      </c>
      <c r="D26" s="66">
        <v>0</v>
      </c>
      <c r="E26" s="64" t="s">
        <v>63</v>
      </c>
      <c r="F26" s="64" t="s">
        <v>200</v>
      </c>
      <c r="G26" s="64" t="s">
        <v>7</v>
      </c>
      <c r="H26" s="64" t="s">
        <v>33</v>
      </c>
      <c r="I26" s="64" t="s">
        <v>20</v>
      </c>
      <c r="J26" s="64" t="s">
        <v>65</v>
      </c>
      <c r="K26" s="64" t="s">
        <v>48</v>
      </c>
    </row>
    <row r="27" spans="1:11" s="2" customFormat="1" x14ac:dyDescent="0.3">
      <c r="A27" s="64" t="s">
        <v>234</v>
      </c>
      <c r="B27" s="65">
        <v>46056</v>
      </c>
      <c r="C27" s="66">
        <v>30</v>
      </c>
      <c r="D27" s="66">
        <v>0</v>
      </c>
      <c r="E27" s="64" t="s">
        <v>45</v>
      </c>
      <c r="F27" s="64" t="s">
        <v>200</v>
      </c>
      <c r="G27" s="64" t="s">
        <v>7</v>
      </c>
      <c r="H27" s="64" t="s">
        <v>259</v>
      </c>
      <c r="I27" s="64" t="s">
        <v>20</v>
      </c>
      <c r="J27" s="64" t="s">
        <v>49</v>
      </c>
      <c r="K27" s="64" t="s">
        <v>91</v>
      </c>
    </row>
    <row r="28" spans="1:11" s="2" customFormat="1" x14ac:dyDescent="0.3">
      <c r="A28" s="64" t="s">
        <v>237</v>
      </c>
      <c r="B28" s="65">
        <v>46062</v>
      </c>
      <c r="C28" s="66">
        <v>1</v>
      </c>
      <c r="D28" s="66">
        <v>0</v>
      </c>
      <c r="E28" s="64" t="s">
        <v>238</v>
      </c>
      <c r="F28" s="64" t="s">
        <v>200</v>
      </c>
      <c r="G28" s="64" t="s">
        <v>7</v>
      </c>
      <c r="H28" s="64" t="s">
        <v>8</v>
      </c>
      <c r="I28" s="64" t="s">
        <v>20</v>
      </c>
      <c r="J28" s="64" t="s">
        <v>12</v>
      </c>
      <c r="K28" s="64" t="s">
        <v>13</v>
      </c>
    </row>
    <row r="29" spans="1:11" s="2" customFormat="1" x14ac:dyDescent="0.3">
      <c r="A29" s="64" t="s">
        <v>251</v>
      </c>
      <c r="B29" s="65">
        <v>46063</v>
      </c>
      <c r="C29" s="66">
        <v>1</v>
      </c>
      <c r="D29" s="66">
        <v>0</v>
      </c>
      <c r="E29" s="64" t="s">
        <v>193</v>
      </c>
      <c r="F29" s="64" t="s">
        <v>98</v>
      </c>
      <c r="G29" s="64" t="s">
        <v>7</v>
      </c>
      <c r="H29" s="64" t="s">
        <v>148</v>
      </c>
      <c r="I29" s="64" t="s">
        <v>9</v>
      </c>
      <c r="J29" s="64" t="s">
        <v>252</v>
      </c>
      <c r="K29" s="64" t="s">
        <v>48</v>
      </c>
    </row>
    <row r="30" spans="1:11" s="2" customFormat="1" ht="13.95" customHeight="1" x14ac:dyDescent="0.3">
      <c r="A30" s="64" t="s">
        <v>241</v>
      </c>
      <c r="B30" s="65">
        <v>46063</v>
      </c>
      <c r="C30" s="66">
        <v>1</v>
      </c>
      <c r="D30" s="66">
        <v>0</v>
      </c>
      <c r="E30" s="64" t="s">
        <v>147</v>
      </c>
      <c r="F30" s="64" t="s">
        <v>98</v>
      </c>
      <c r="G30" s="64" t="s">
        <v>7</v>
      </c>
      <c r="H30" s="64" t="s">
        <v>183</v>
      </c>
      <c r="I30" s="64" t="s">
        <v>9</v>
      </c>
      <c r="J30" s="64" t="s">
        <v>149</v>
      </c>
      <c r="K30" s="64" t="s">
        <v>242</v>
      </c>
    </row>
    <row r="31" spans="1:11" s="2" customFormat="1" ht="14.25" customHeight="1" x14ac:dyDescent="0.3">
      <c r="A31" s="64" t="s">
        <v>246</v>
      </c>
      <c r="B31" s="65">
        <v>46055</v>
      </c>
      <c r="C31" s="66">
        <v>1</v>
      </c>
      <c r="D31" s="66">
        <v>0</v>
      </c>
      <c r="E31" s="64" t="s">
        <v>232</v>
      </c>
      <c r="F31" s="64" t="s">
        <v>200</v>
      </c>
      <c r="G31" s="64" t="s">
        <v>7</v>
      </c>
      <c r="H31" s="64" t="s">
        <v>33</v>
      </c>
      <c r="I31" s="64" t="s">
        <v>20</v>
      </c>
      <c r="J31" s="64" t="s">
        <v>65</v>
      </c>
      <c r="K31" s="64" t="s">
        <v>48</v>
      </c>
    </row>
    <row r="32" spans="1:11" s="2" customFormat="1" ht="14.25" customHeight="1" x14ac:dyDescent="0.3">
      <c r="A32" s="64" t="s">
        <v>247</v>
      </c>
      <c r="B32" s="65">
        <v>46056</v>
      </c>
      <c r="C32" s="66">
        <v>1</v>
      </c>
      <c r="D32" s="66">
        <v>0</v>
      </c>
      <c r="E32" s="64" t="s">
        <v>120</v>
      </c>
      <c r="F32" s="64" t="s">
        <v>200</v>
      </c>
      <c r="G32" s="64" t="s">
        <v>7</v>
      </c>
      <c r="H32" s="64" t="s">
        <v>260</v>
      </c>
      <c r="I32" s="64" t="s">
        <v>9</v>
      </c>
      <c r="J32" s="64" t="s">
        <v>248</v>
      </c>
      <c r="K32" s="64" t="s">
        <v>43</v>
      </c>
    </row>
    <row r="33" spans="1:19" s="2" customFormat="1" ht="14.25" customHeight="1" x14ac:dyDescent="0.3">
      <c r="A33" s="64" t="s">
        <v>249</v>
      </c>
      <c r="B33" s="65">
        <v>46055</v>
      </c>
      <c r="C33" s="66">
        <v>2</v>
      </c>
      <c r="D33" s="66">
        <v>0</v>
      </c>
      <c r="E33" s="64" t="s">
        <v>45</v>
      </c>
      <c r="F33" s="64" t="s">
        <v>200</v>
      </c>
      <c r="G33" s="64" t="s">
        <v>7</v>
      </c>
      <c r="H33" s="64" t="s">
        <v>139</v>
      </c>
      <c r="I33" s="64" t="s">
        <v>20</v>
      </c>
      <c r="J33" s="64" t="s">
        <v>33</v>
      </c>
      <c r="K33" s="64" t="s">
        <v>250</v>
      </c>
    </row>
    <row r="34" spans="1:19" s="2" customFormat="1" ht="14.25" customHeight="1" x14ac:dyDescent="0.3">
      <c r="A34" s="64" t="s">
        <v>257</v>
      </c>
      <c r="B34" s="65">
        <v>46059</v>
      </c>
      <c r="C34" s="66">
        <v>1</v>
      </c>
      <c r="D34" s="66">
        <v>0</v>
      </c>
      <c r="E34" s="64" t="s">
        <v>258</v>
      </c>
      <c r="F34" s="64" t="s">
        <v>98</v>
      </c>
      <c r="G34" s="64" t="s">
        <v>7</v>
      </c>
      <c r="H34" s="64" t="s">
        <v>18</v>
      </c>
      <c r="I34" s="64" t="s">
        <v>56</v>
      </c>
      <c r="J34" s="64" t="s">
        <v>134</v>
      </c>
      <c r="K34" s="64" t="s">
        <v>13</v>
      </c>
    </row>
    <row r="35" spans="1:19" s="2" customFormat="1" ht="14.25" customHeight="1" x14ac:dyDescent="0.3">
      <c r="A35" s="64" t="s">
        <v>261</v>
      </c>
      <c r="B35" s="65">
        <v>46056</v>
      </c>
      <c r="C35" s="66">
        <v>1</v>
      </c>
      <c r="D35" s="66">
        <v>0</v>
      </c>
      <c r="E35" s="64" t="s">
        <v>262</v>
      </c>
      <c r="F35" s="64" t="s">
        <v>98</v>
      </c>
      <c r="G35" s="64" t="s">
        <v>7</v>
      </c>
      <c r="H35" s="64" t="s">
        <v>183</v>
      </c>
      <c r="I35" s="64" t="s">
        <v>20</v>
      </c>
      <c r="J35" s="64" t="s">
        <v>191</v>
      </c>
      <c r="K35" s="64" t="s">
        <v>13</v>
      </c>
    </row>
    <row r="36" spans="1:19" s="2" customFormat="1" ht="14.25" hidden="1" customHeight="1" x14ac:dyDescent="0.3">
      <c r="A36" s="40"/>
      <c r="B36" s="41"/>
      <c r="C36" s="42"/>
      <c r="D36" s="42"/>
      <c r="E36" s="40"/>
      <c r="F36" s="40"/>
      <c r="G36" s="40"/>
      <c r="H36" s="40"/>
      <c r="I36" s="40"/>
      <c r="J36" s="40"/>
      <c r="K36" s="40"/>
    </row>
    <row r="37" spans="1:19" s="2" customFormat="1" ht="14.25" hidden="1" customHeight="1" x14ac:dyDescent="0.3">
      <c r="A37" s="40"/>
      <c r="B37" s="41"/>
      <c r="C37" s="42"/>
      <c r="D37" s="42"/>
      <c r="E37" s="40"/>
      <c r="F37" s="40"/>
      <c r="G37" s="40"/>
      <c r="H37" s="40"/>
      <c r="I37" s="40"/>
      <c r="J37" s="40"/>
      <c r="K37" s="40"/>
    </row>
    <row r="38" spans="1:19" ht="15" thickBot="1" x14ac:dyDescent="0.35">
      <c r="A38" s="40"/>
      <c r="B38" s="41"/>
      <c r="C38" s="42"/>
      <c r="D38" s="42"/>
      <c r="E38" s="40"/>
      <c r="F38" s="40"/>
      <c r="G38" s="40"/>
      <c r="H38" s="40"/>
      <c r="I38" s="40"/>
      <c r="J38" s="40"/>
      <c r="K38" s="40"/>
      <c r="P38" s="3"/>
      <c r="Q38" s="3"/>
      <c r="R38" s="4"/>
      <c r="S38" s="4"/>
    </row>
    <row r="39" spans="1:19" ht="15" thickBot="1" x14ac:dyDescent="0.35">
      <c r="B39" s="34" t="s">
        <v>31</v>
      </c>
      <c r="C39" s="12">
        <f>SUM(C4:C35)-SUM(D4:D35)</f>
        <v>75</v>
      </c>
      <c r="D39" s="29"/>
      <c r="F39" s="35" t="s">
        <v>57</v>
      </c>
      <c r="G39" s="36">
        <f>COUNTIF(I4:I35,"Pending")</f>
        <v>5</v>
      </c>
      <c r="I39" s="38" t="s">
        <v>58</v>
      </c>
      <c r="J39" s="39">
        <f>C39-G39</f>
        <v>70</v>
      </c>
    </row>
    <row r="40" spans="1:19" x14ac:dyDescent="0.3">
      <c r="G40" s="3"/>
      <c r="H40" s="4"/>
      <c r="I40" s="3"/>
    </row>
    <row r="41" spans="1:19" hidden="1" x14ac:dyDescent="0.3">
      <c r="D41" s="13"/>
    </row>
    <row r="42" spans="1:19" s="6" customFormat="1" ht="28.8" x14ac:dyDescent="0.3">
      <c r="A42" s="28" t="s">
        <v>0</v>
      </c>
      <c r="B42" s="28" t="s">
        <v>1</v>
      </c>
      <c r="C42" s="28" t="s">
        <v>2</v>
      </c>
      <c r="D42" s="28" t="s">
        <v>3</v>
      </c>
      <c r="E42" s="28" t="s">
        <v>4</v>
      </c>
      <c r="F42" s="28" t="s">
        <v>51</v>
      </c>
      <c r="G42" s="28" t="s">
        <v>52</v>
      </c>
      <c r="H42" s="28" t="s">
        <v>5</v>
      </c>
      <c r="I42" s="28" t="s">
        <v>53</v>
      </c>
      <c r="J42" s="28" t="s">
        <v>27</v>
      </c>
      <c r="K42" s="28" t="s">
        <v>6</v>
      </c>
    </row>
    <row r="43" spans="1:19" s="14" customFormat="1" x14ac:dyDescent="0.3">
      <c r="A43" s="64" t="s">
        <v>74</v>
      </c>
      <c r="B43" s="65">
        <v>46056</v>
      </c>
      <c r="C43" s="66">
        <v>1</v>
      </c>
      <c r="D43" s="66">
        <v>0</v>
      </c>
      <c r="E43" s="64" t="s">
        <v>75</v>
      </c>
      <c r="F43" s="64" t="s">
        <v>98</v>
      </c>
      <c r="G43" s="64" t="s">
        <v>32</v>
      </c>
      <c r="H43" s="64" t="s">
        <v>76</v>
      </c>
      <c r="I43" s="64" t="s">
        <v>20</v>
      </c>
      <c r="J43" s="64" t="s">
        <v>77</v>
      </c>
      <c r="K43" s="64" t="s">
        <v>13</v>
      </c>
    </row>
    <row r="44" spans="1:19" s="14" customFormat="1" x14ac:dyDescent="0.3">
      <c r="A44" s="64" t="s">
        <v>170</v>
      </c>
      <c r="B44" s="65">
        <v>46013</v>
      </c>
      <c r="C44" s="66">
        <v>1</v>
      </c>
      <c r="D44" s="66">
        <v>0</v>
      </c>
      <c r="E44" s="64" t="s">
        <v>171</v>
      </c>
      <c r="F44" s="64" t="s">
        <v>200</v>
      </c>
      <c r="G44" s="64" t="s">
        <v>32</v>
      </c>
      <c r="H44" s="64" t="s">
        <v>148</v>
      </c>
      <c r="I44" s="64" t="s">
        <v>20</v>
      </c>
      <c r="J44" s="64" t="s">
        <v>105</v>
      </c>
      <c r="K44" s="64" t="s">
        <v>19</v>
      </c>
    </row>
    <row r="45" spans="1:19" s="14" customFormat="1" ht="15" customHeight="1" x14ac:dyDescent="0.3">
      <c r="A45" s="64" t="s">
        <v>92</v>
      </c>
      <c r="B45" s="65">
        <v>46056</v>
      </c>
      <c r="C45" s="66">
        <v>1</v>
      </c>
      <c r="D45" s="66">
        <v>0</v>
      </c>
      <c r="E45" s="64" t="s">
        <v>93</v>
      </c>
      <c r="F45" s="64" t="s">
        <v>98</v>
      </c>
      <c r="G45" s="64" t="s">
        <v>32</v>
      </c>
      <c r="H45" s="64" t="s">
        <v>94</v>
      </c>
      <c r="I45" s="64" t="s">
        <v>20</v>
      </c>
      <c r="J45" s="64" t="s">
        <v>95</v>
      </c>
      <c r="K45" s="64" t="s">
        <v>91</v>
      </c>
    </row>
    <row r="46" spans="1:19" s="14" customFormat="1" ht="15" customHeight="1" x14ac:dyDescent="0.3">
      <c r="A46" s="64" t="s">
        <v>99</v>
      </c>
      <c r="B46" s="65">
        <v>46056</v>
      </c>
      <c r="C46" s="66">
        <v>1</v>
      </c>
      <c r="D46" s="66">
        <v>0</v>
      </c>
      <c r="E46" s="64" t="s">
        <v>166</v>
      </c>
      <c r="F46" s="64" t="s">
        <v>98</v>
      </c>
      <c r="G46" s="64" t="s">
        <v>32</v>
      </c>
      <c r="H46" s="64" t="s">
        <v>44</v>
      </c>
      <c r="I46" s="64" t="s">
        <v>20</v>
      </c>
      <c r="J46" s="64" t="s">
        <v>166</v>
      </c>
      <c r="K46" s="64" t="s">
        <v>13</v>
      </c>
    </row>
    <row r="47" spans="1:19" s="18" customFormat="1" ht="15" customHeight="1" x14ac:dyDescent="0.3">
      <c r="A47" s="64" t="s">
        <v>172</v>
      </c>
      <c r="B47" s="65">
        <v>46056</v>
      </c>
      <c r="C47" s="66">
        <v>1</v>
      </c>
      <c r="D47" s="66">
        <v>0</v>
      </c>
      <c r="E47" s="64" t="s">
        <v>173</v>
      </c>
      <c r="F47" s="64" t="s">
        <v>98</v>
      </c>
      <c r="G47" s="64" t="s">
        <v>32</v>
      </c>
      <c r="H47" s="64" t="s">
        <v>33</v>
      </c>
      <c r="I47" s="64" t="s">
        <v>20</v>
      </c>
      <c r="J47" s="64" t="s">
        <v>175</v>
      </c>
      <c r="K47" s="64" t="s">
        <v>176</v>
      </c>
    </row>
    <row r="48" spans="1:19" s="18" customFormat="1" ht="15" customHeight="1" thickBot="1" x14ac:dyDescent="0.35">
      <c r="A48" s="70"/>
      <c r="B48" s="71"/>
      <c r="C48" s="72"/>
      <c r="D48" s="72"/>
      <c r="E48" s="70"/>
      <c r="F48" s="70"/>
      <c r="G48" s="70"/>
      <c r="H48" s="70"/>
      <c r="I48" s="70"/>
      <c r="J48" s="70"/>
      <c r="K48" s="70"/>
    </row>
    <row r="49" spans="1:19" ht="15" hidden="1" thickBot="1" x14ac:dyDescent="0.35">
      <c r="A49" s="51"/>
      <c r="B49" s="52"/>
      <c r="C49" s="53"/>
      <c r="D49" s="53"/>
      <c r="E49" s="51"/>
      <c r="F49" s="51"/>
      <c r="G49" s="51"/>
      <c r="H49" s="51"/>
      <c r="I49" s="51"/>
      <c r="J49" s="51"/>
      <c r="K49" s="2"/>
    </row>
    <row r="50" spans="1:19" ht="15" thickBot="1" x14ac:dyDescent="0.35">
      <c r="B50" s="60" t="s">
        <v>34</v>
      </c>
      <c r="C50" s="61">
        <f>SUM(C43:C47)-SUM(D43:D47)</f>
        <v>5</v>
      </c>
      <c r="E50" s="2"/>
      <c r="F50" s="2"/>
      <c r="H50" s="2"/>
      <c r="J50" s="2"/>
      <c r="K50" s="2"/>
    </row>
    <row r="51" spans="1:19" x14ac:dyDescent="0.3">
      <c r="E51" s="2"/>
      <c r="F51" s="2"/>
      <c r="H51" s="2"/>
      <c r="J51" s="2"/>
      <c r="K51" s="2"/>
    </row>
    <row r="52" spans="1:19" hidden="1" x14ac:dyDescent="0.3">
      <c r="E52" s="2"/>
      <c r="F52" s="2"/>
      <c r="H52" s="2"/>
      <c r="J52" s="2"/>
      <c r="K52" s="2"/>
    </row>
    <row r="53" spans="1:19" s="2" customFormat="1" ht="34.35" customHeight="1" x14ac:dyDescent="0.3">
      <c r="A53" s="62" t="s">
        <v>0</v>
      </c>
      <c r="B53" s="62" t="s">
        <v>1</v>
      </c>
      <c r="C53" s="62" t="s">
        <v>2</v>
      </c>
      <c r="D53" s="62" t="s">
        <v>3</v>
      </c>
      <c r="E53" s="62" t="s">
        <v>4</v>
      </c>
      <c r="F53" s="62" t="s">
        <v>51</v>
      </c>
      <c r="G53" s="62" t="s">
        <v>52</v>
      </c>
      <c r="H53" s="62" t="s">
        <v>5</v>
      </c>
      <c r="I53" s="62" t="s">
        <v>53</v>
      </c>
      <c r="J53" s="62" t="s">
        <v>27</v>
      </c>
      <c r="K53" s="62" t="s">
        <v>6</v>
      </c>
    </row>
    <row r="54" spans="1:19" x14ac:dyDescent="0.3">
      <c r="A54" s="64" t="s">
        <v>163</v>
      </c>
      <c r="B54" s="65">
        <v>46050</v>
      </c>
      <c r="C54" s="66">
        <v>1</v>
      </c>
      <c r="D54" s="66">
        <v>0</v>
      </c>
      <c r="E54" s="64" t="s">
        <v>164</v>
      </c>
      <c r="F54" s="64" t="s">
        <v>98</v>
      </c>
      <c r="G54" s="64" t="s">
        <v>55</v>
      </c>
      <c r="H54" s="64" t="s">
        <v>17</v>
      </c>
      <c r="I54" s="64" t="s">
        <v>20</v>
      </c>
      <c r="J54" s="64" t="s">
        <v>165</v>
      </c>
      <c r="K54" s="64" t="s">
        <v>13</v>
      </c>
      <c r="R54" s="4"/>
      <c r="S54" s="4"/>
    </row>
    <row r="55" spans="1:19" x14ac:dyDescent="0.3">
      <c r="A55" s="64" t="s">
        <v>222</v>
      </c>
      <c r="B55" s="65">
        <v>46042</v>
      </c>
      <c r="C55" s="66">
        <v>1</v>
      </c>
      <c r="D55" s="66">
        <v>0</v>
      </c>
      <c r="E55" s="64" t="s">
        <v>223</v>
      </c>
      <c r="F55" s="64" t="s">
        <v>200</v>
      </c>
      <c r="G55" s="64" t="s">
        <v>55</v>
      </c>
      <c r="H55" s="64" t="s">
        <v>33</v>
      </c>
      <c r="I55" s="64" t="s">
        <v>20</v>
      </c>
      <c r="J55" s="64" t="s">
        <v>180</v>
      </c>
      <c r="K55" s="64" t="s">
        <v>13</v>
      </c>
      <c r="R55" s="4"/>
      <c r="S55" s="4"/>
    </row>
    <row r="56" spans="1:19" x14ac:dyDescent="0.3">
      <c r="A56" s="64" t="s">
        <v>224</v>
      </c>
      <c r="B56" s="65">
        <v>46043</v>
      </c>
      <c r="C56" s="66">
        <v>1</v>
      </c>
      <c r="D56" s="66">
        <v>0</v>
      </c>
      <c r="E56" s="64" t="s">
        <v>225</v>
      </c>
      <c r="F56" s="43" t="s">
        <v>200</v>
      </c>
      <c r="G56" s="64" t="s">
        <v>55</v>
      </c>
      <c r="H56" s="64" t="s">
        <v>33</v>
      </c>
      <c r="I56" s="64" t="s">
        <v>20</v>
      </c>
      <c r="J56" s="64" t="s">
        <v>180</v>
      </c>
      <c r="K56" s="64" t="s">
        <v>13</v>
      </c>
      <c r="R56" s="4"/>
      <c r="S56" s="4"/>
    </row>
    <row r="57" spans="1:19" x14ac:dyDescent="0.3">
      <c r="A57" s="64" t="s">
        <v>226</v>
      </c>
      <c r="B57" s="65">
        <v>46043</v>
      </c>
      <c r="C57" s="66">
        <v>2</v>
      </c>
      <c r="D57" s="66">
        <v>0</v>
      </c>
      <c r="E57" s="64" t="s">
        <v>227</v>
      </c>
      <c r="F57" s="43" t="s">
        <v>200</v>
      </c>
      <c r="G57" s="64" t="s">
        <v>55</v>
      </c>
      <c r="H57" s="64" t="s">
        <v>33</v>
      </c>
      <c r="I57" s="64" t="s">
        <v>20</v>
      </c>
      <c r="J57" s="64" t="s">
        <v>180</v>
      </c>
      <c r="K57" s="64" t="s">
        <v>13</v>
      </c>
      <c r="R57" s="4"/>
      <c r="S57" s="4"/>
    </row>
    <row r="58" spans="1:19" x14ac:dyDescent="0.3">
      <c r="A58" s="64" t="s">
        <v>243</v>
      </c>
      <c r="B58" s="65">
        <v>46050</v>
      </c>
      <c r="C58" s="66">
        <v>1</v>
      </c>
      <c r="D58" s="66">
        <v>0</v>
      </c>
      <c r="E58" s="64" t="s">
        <v>244</v>
      </c>
      <c r="F58" s="64" t="s">
        <v>98</v>
      </c>
      <c r="G58" s="64" t="s">
        <v>55</v>
      </c>
      <c r="H58" s="64" t="s">
        <v>102</v>
      </c>
      <c r="I58" s="64" t="s">
        <v>20</v>
      </c>
      <c r="J58" s="64" t="s">
        <v>103</v>
      </c>
      <c r="K58" s="64" t="s">
        <v>21</v>
      </c>
      <c r="R58" s="4"/>
      <c r="S58" s="4"/>
    </row>
    <row r="59" spans="1:19" x14ac:dyDescent="0.3">
      <c r="A59" s="64" t="s">
        <v>253</v>
      </c>
      <c r="B59" s="65">
        <v>46051</v>
      </c>
      <c r="C59" s="66">
        <v>1</v>
      </c>
      <c r="D59" s="66">
        <v>0</v>
      </c>
      <c r="E59" s="64" t="s">
        <v>244</v>
      </c>
      <c r="F59" s="64" t="s">
        <v>98</v>
      </c>
      <c r="G59" s="64" t="s">
        <v>55</v>
      </c>
      <c r="H59" s="64" t="s">
        <v>33</v>
      </c>
      <c r="I59" s="64" t="s">
        <v>20</v>
      </c>
      <c r="J59" s="64" t="s">
        <v>103</v>
      </c>
      <c r="K59" s="64" t="s">
        <v>21</v>
      </c>
      <c r="R59" s="4"/>
      <c r="S59" s="4"/>
    </row>
    <row r="60" spans="1:19" x14ac:dyDescent="0.3">
      <c r="A60" s="64" t="s">
        <v>254</v>
      </c>
      <c r="B60" s="65">
        <v>46051</v>
      </c>
      <c r="C60" s="66">
        <v>1</v>
      </c>
      <c r="D60" s="66">
        <v>0</v>
      </c>
      <c r="E60" s="64" t="s">
        <v>101</v>
      </c>
      <c r="F60" s="64" t="s">
        <v>98</v>
      </c>
      <c r="G60" s="64" t="s">
        <v>55</v>
      </c>
      <c r="H60" s="64" t="s">
        <v>33</v>
      </c>
      <c r="I60" s="64" t="s">
        <v>20</v>
      </c>
      <c r="J60" s="64" t="s">
        <v>103</v>
      </c>
      <c r="K60" s="64" t="s">
        <v>21</v>
      </c>
      <c r="R60" s="4"/>
      <c r="S60" s="4"/>
    </row>
    <row r="61" spans="1:19" x14ac:dyDescent="0.3">
      <c r="A61" s="64" t="s">
        <v>264</v>
      </c>
      <c r="B61" s="65">
        <v>46055</v>
      </c>
      <c r="C61" s="66">
        <v>1</v>
      </c>
      <c r="D61" s="66">
        <v>0</v>
      </c>
      <c r="E61" s="64" t="s">
        <v>29</v>
      </c>
      <c r="F61" s="64" t="s">
        <v>98</v>
      </c>
      <c r="G61" s="64" t="s">
        <v>55</v>
      </c>
      <c r="H61" s="64" t="s">
        <v>33</v>
      </c>
      <c r="I61" s="64" t="s">
        <v>20</v>
      </c>
      <c r="J61" s="64" t="s">
        <v>65</v>
      </c>
      <c r="K61" s="64" t="s">
        <v>48</v>
      </c>
      <c r="R61" s="4"/>
      <c r="S61" s="4"/>
    </row>
    <row r="62" spans="1:19" s="2" customFormat="1" x14ac:dyDescent="0.3">
      <c r="A62" s="64" t="s">
        <v>265</v>
      </c>
      <c r="B62" s="65">
        <v>46055</v>
      </c>
      <c r="C62" s="66">
        <v>1</v>
      </c>
      <c r="D62" s="66">
        <v>0</v>
      </c>
      <c r="E62" s="64" t="s">
        <v>29</v>
      </c>
      <c r="F62" s="64" t="s">
        <v>98</v>
      </c>
      <c r="G62" s="64" t="s">
        <v>55</v>
      </c>
      <c r="H62" s="64" t="s">
        <v>33</v>
      </c>
      <c r="I62" s="64" t="s">
        <v>20</v>
      </c>
      <c r="J62" s="64" t="s">
        <v>65</v>
      </c>
      <c r="K62" s="64" t="s">
        <v>48</v>
      </c>
      <c r="L62" s="4"/>
      <c r="M62" s="4"/>
      <c r="N62" s="4"/>
      <c r="O62" s="4"/>
      <c r="P62" s="4"/>
      <c r="Q62" s="4"/>
      <c r="R62" s="4"/>
    </row>
    <row r="63" spans="1:19" s="2" customFormat="1" x14ac:dyDescent="0.3">
      <c r="A63" s="64" t="s">
        <v>267</v>
      </c>
      <c r="B63" s="65">
        <v>46059</v>
      </c>
      <c r="C63" s="66">
        <v>1</v>
      </c>
      <c r="D63" s="66">
        <v>0</v>
      </c>
      <c r="E63" s="64" t="s">
        <v>268</v>
      </c>
      <c r="F63" s="64" t="s">
        <v>98</v>
      </c>
      <c r="G63" s="64" t="s">
        <v>55</v>
      </c>
      <c r="H63" s="64" t="s">
        <v>33</v>
      </c>
      <c r="I63" s="64" t="s">
        <v>20</v>
      </c>
      <c r="J63" s="64" t="s">
        <v>269</v>
      </c>
      <c r="K63" s="64" t="s">
        <v>22</v>
      </c>
      <c r="L63" s="4"/>
      <c r="M63" s="4"/>
      <c r="N63" s="4"/>
      <c r="O63" s="4"/>
      <c r="P63" s="4"/>
      <c r="Q63" s="4"/>
      <c r="R63" s="4"/>
    </row>
    <row r="64" spans="1:19" s="2" customFormat="1" x14ac:dyDescent="0.3">
      <c r="A64" s="64" t="s">
        <v>270</v>
      </c>
      <c r="B64" s="65">
        <v>46063</v>
      </c>
      <c r="C64" s="66">
        <v>1</v>
      </c>
      <c r="D64" s="66">
        <v>0</v>
      </c>
      <c r="E64" s="64" t="s">
        <v>25</v>
      </c>
      <c r="F64" s="64" t="s">
        <v>200</v>
      </c>
      <c r="G64" s="64" t="s">
        <v>55</v>
      </c>
      <c r="H64" s="64" t="s">
        <v>33</v>
      </c>
      <c r="I64" s="64" t="s">
        <v>20</v>
      </c>
      <c r="J64" s="64" t="s">
        <v>271</v>
      </c>
      <c r="K64" s="64" t="s">
        <v>43</v>
      </c>
      <c r="L64" s="4"/>
      <c r="M64" s="4"/>
      <c r="N64" s="4"/>
      <c r="O64" s="4"/>
      <c r="P64" s="4"/>
      <c r="Q64" s="4"/>
      <c r="R64" s="4"/>
    </row>
    <row r="65" spans="1:29" s="2" customFormat="1" hidden="1" x14ac:dyDescent="0.3">
      <c r="A65" s="63"/>
      <c r="B65" s="4"/>
      <c r="C65" s="4"/>
      <c r="D65" s="4"/>
      <c r="E65" s="4"/>
      <c r="F65" s="4"/>
      <c r="G65" s="3"/>
      <c r="H65" s="3"/>
      <c r="I65" s="4"/>
      <c r="J65" s="4"/>
      <c r="K65" s="4"/>
      <c r="L65" s="4"/>
      <c r="M65" s="4"/>
      <c r="N65" s="4"/>
      <c r="O65" s="4"/>
      <c r="P65" s="4"/>
      <c r="Q65" s="4"/>
      <c r="R65" s="4"/>
    </row>
    <row r="66" spans="1:29" s="2" customFormat="1" hidden="1" x14ac:dyDescent="0.3">
      <c r="A66" s="4"/>
      <c r="B66" s="4"/>
      <c r="C66" s="4"/>
      <c r="D66" s="4"/>
      <c r="E66" s="4"/>
      <c r="F66" s="4"/>
      <c r="G66" s="3"/>
      <c r="H66" s="3"/>
      <c r="I66" s="4"/>
      <c r="J66" s="4"/>
      <c r="K66" s="4"/>
      <c r="L66" s="4"/>
      <c r="M66" s="4"/>
      <c r="N66" s="4"/>
      <c r="O66" s="4"/>
      <c r="P66" s="4"/>
      <c r="Q66" s="4"/>
      <c r="R66" s="4"/>
    </row>
    <row r="67" spans="1:29" s="2" customFormat="1" hidden="1" x14ac:dyDescent="0.3">
      <c r="A67" s="4"/>
      <c r="B67" s="4"/>
      <c r="C67" s="4"/>
      <c r="D67" s="4"/>
      <c r="E67" s="4"/>
      <c r="F67" s="4"/>
      <c r="G67" s="3"/>
      <c r="H67" s="3"/>
      <c r="I67" s="4"/>
      <c r="J67" s="4"/>
      <c r="K67" s="4"/>
      <c r="L67" s="4"/>
      <c r="M67" s="4"/>
      <c r="N67" s="4"/>
      <c r="O67" s="4"/>
      <c r="P67" s="4"/>
      <c r="Q67" s="4"/>
      <c r="R67" s="4"/>
    </row>
    <row r="68" spans="1:29" s="2" customFormat="1" hidden="1" x14ac:dyDescent="0.3">
      <c r="A68" s="19"/>
      <c r="B68" s="20"/>
      <c r="C68" s="21"/>
      <c r="D68" s="21"/>
      <c r="E68" s="19"/>
      <c r="F68" s="19"/>
      <c r="G68" s="19"/>
      <c r="H68" s="19"/>
      <c r="I68" s="19"/>
      <c r="J68" s="19"/>
      <c r="K68" s="19"/>
      <c r="L68" s="4"/>
      <c r="M68" s="4"/>
      <c r="N68" s="4"/>
      <c r="O68" s="4"/>
      <c r="P68" s="4"/>
      <c r="Q68" s="4"/>
      <c r="R68" s="3"/>
      <c r="S68" s="3"/>
      <c r="T68" s="4"/>
      <c r="U68" s="4"/>
      <c r="V68" s="4"/>
      <c r="W68" s="4"/>
      <c r="X68" s="4"/>
      <c r="Y68" s="4"/>
      <c r="Z68" s="4"/>
      <c r="AA68" s="4"/>
      <c r="AB68" s="4"/>
      <c r="AC68" s="4"/>
    </row>
    <row r="69" spans="1:29" s="2" customFormat="1" hidden="1" x14ac:dyDescent="0.3">
      <c r="A69" s="19"/>
      <c r="B69" s="20"/>
      <c r="C69" s="21"/>
      <c r="D69" s="21"/>
      <c r="E69" s="19"/>
      <c r="F69" s="19"/>
      <c r="G69" s="19"/>
      <c r="H69" s="19"/>
      <c r="I69" s="19"/>
      <c r="J69" s="19"/>
      <c r="K69" s="19"/>
      <c r="L69" s="4"/>
      <c r="M69" s="4"/>
      <c r="N69" s="4"/>
      <c r="O69" s="4"/>
      <c r="P69" s="4"/>
      <c r="Q69" s="4"/>
      <c r="R69" s="3"/>
      <c r="S69" s="3"/>
      <c r="T69" s="4"/>
      <c r="U69" s="4"/>
      <c r="V69" s="4"/>
      <c r="W69" s="4"/>
      <c r="X69" s="4"/>
      <c r="Y69" s="4"/>
      <c r="Z69" s="4"/>
      <c r="AA69" s="4"/>
      <c r="AB69" s="4"/>
      <c r="AC69" s="4"/>
    </row>
    <row r="70" spans="1:29" s="2" customFormat="1" x14ac:dyDescent="0.3">
      <c r="A70" s="51"/>
      <c r="B70" s="52"/>
      <c r="C70" s="53"/>
      <c r="D70" s="53"/>
      <c r="E70" s="51"/>
      <c r="F70" s="51"/>
      <c r="G70" s="51"/>
      <c r="H70" s="51"/>
      <c r="I70" s="51"/>
      <c r="J70" s="51"/>
      <c r="K70" s="51"/>
      <c r="L70" s="4"/>
      <c r="M70" s="4"/>
      <c r="N70" s="4"/>
      <c r="O70" s="4"/>
      <c r="P70" s="4"/>
      <c r="Q70" s="4"/>
      <c r="R70" s="3"/>
      <c r="S70" s="3"/>
      <c r="T70" s="4"/>
      <c r="U70" s="4"/>
      <c r="V70" s="4"/>
      <c r="W70" s="4"/>
      <c r="X70" s="4"/>
      <c r="Y70" s="4"/>
      <c r="Z70" s="4"/>
      <c r="AA70" s="4"/>
      <c r="AB70" s="4"/>
      <c r="AC70" s="4"/>
    </row>
    <row r="71" spans="1:29" s="2" customFormat="1" ht="15" thickBot="1" x14ac:dyDescent="0.35">
      <c r="A71" s="51"/>
      <c r="B71" s="52"/>
      <c r="C71" s="53"/>
      <c r="D71" s="53"/>
      <c r="E71" s="51"/>
      <c r="F71" s="51"/>
      <c r="G71" s="51"/>
      <c r="H71" s="51"/>
      <c r="I71" s="51"/>
      <c r="J71" s="51"/>
      <c r="K71" s="51"/>
      <c r="L71" s="4"/>
      <c r="M71" s="4"/>
      <c r="N71" s="4"/>
      <c r="O71" s="4"/>
      <c r="P71" s="4"/>
      <c r="Q71" s="4"/>
      <c r="R71" s="3"/>
      <c r="S71" s="3"/>
      <c r="T71" s="4"/>
      <c r="U71" s="4"/>
      <c r="V71" s="4"/>
      <c r="W71" s="4"/>
      <c r="X71" s="4"/>
      <c r="Y71" s="4"/>
      <c r="Z71" s="4"/>
      <c r="AA71" s="4"/>
      <c r="AB71" s="4"/>
      <c r="AC71" s="4"/>
    </row>
    <row r="72" spans="1:29" ht="15" thickBot="1" x14ac:dyDescent="0.35">
      <c r="B72" s="38" t="s">
        <v>266</v>
      </c>
      <c r="C72" s="22">
        <v>12</v>
      </c>
    </row>
  </sheetData>
  <autoFilter ref="A3:J29" xr:uid="{6E392464-0CD5-4B6C-9B5A-A4EF4B03C567}"/>
  <conditionalFormatting sqref="F1:F37">
    <cfRule type="cellIs" dxfId="29" priority="5" operator="equal">
      <formula>"Non-Billable"</formula>
    </cfRule>
    <cfRule type="cellIs" dxfId="28" priority="6" operator="equal">
      <formula>"Billable"</formula>
    </cfRule>
  </conditionalFormatting>
  <conditionalFormatting sqref="F38">
    <cfRule type="cellIs" dxfId="27" priority="14" operator="equal">
      <formula>"Not Accepting Application"</formula>
    </cfRule>
    <cfRule type="cellIs" dxfId="26" priority="15" operator="equal">
      <formula>"Y"</formula>
    </cfRule>
  </conditionalFormatting>
  <conditionalFormatting sqref="F40:F1048576">
    <cfRule type="cellIs" dxfId="25" priority="1" operator="equal">
      <formula>"Non-Billable"</formula>
    </cfRule>
    <cfRule type="cellIs" dxfId="24" priority="2" operator="equal">
      <formula>"Billable"</formula>
    </cfRule>
  </conditionalFormatting>
  <conditionalFormatting sqref="H1:H2 H4:H37 F38 H39:H41 H43:H52 H68:H1048576">
    <cfRule type="cellIs" dxfId="23" priority="12" operator="equal">
      <formula>"Not accpeting applications"</formula>
    </cfRule>
  </conditionalFormatting>
  <conditionalFormatting sqref="H1:H2 H4:H37 H39:H41 H43:H52 V54:V67 AG68:AG72 H68:H1048576">
    <cfRule type="cellIs" dxfId="22" priority="10" operator="equal">
      <formula>"Not Accepting Applications"</formula>
    </cfRule>
  </conditionalFormatting>
  <conditionalFormatting sqref="H4:H37">
    <cfRule type="cellIs" dxfId="21" priority="13" operator="equal">
      <formula>"Accepting Applications"</formula>
    </cfRule>
  </conditionalFormatting>
  <conditionalFormatting sqref="H43:H45">
    <cfRule type="cellIs" dxfId="20" priority="11" operator="equal">
      <formula>"Not accepting applications"</formula>
    </cfRule>
  </conditionalFormatting>
  <conditionalFormatting sqref="H47:H48">
    <cfRule type="cellIs" dxfId="19" priority="16" operator="equal">
      <formula>"Not Accepting Application"</formula>
    </cfRule>
    <cfRule type="cellIs" dxfId="18" priority="17" operator="equal">
      <formula>"Accepting Applications"</formula>
    </cfRule>
    <cfRule type="cellIs" dxfId="17" priority="18" operator="equal">
      <formula>"Y"</formula>
    </cfRule>
  </conditionalFormatting>
  <conditionalFormatting sqref="I1:I37 F38:G38 I40:I1048576">
    <cfRule type="cellIs" dxfId="16" priority="8" operator="equal">
      <formula>"Accepting Applications"</formula>
    </cfRule>
    <cfRule type="cellIs" dxfId="15" priority="9" operator="equal">
      <formula>"Not Accepting Applications"</formula>
    </cfRule>
  </conditionalFormatting>
  <conditionalFormatting sqref="I1:I37 G38 I40:I1048576">
    <cfRule type="cellIs" dxfId="14" priority="7" operator="equal">
      <formula>"Pending"</formula>
    </cfRule>
  </conditionalFormatting>
  <pageMargins left="0.7" right="0.7" top="0.75" bottom="0.75" header="0.3" footer="0.3"/>
  <pageSetup orientation="landscape" horizontalDpi="4294967295" verticalDpi="4294967295"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18DE4-CFFF-4711-ADB8-868B03B3E828}">
  <sheetPr>
    <tabColor theme="1" tint="0.34998626667073579"/>
  </sheetPr>
  <dimension ref="A1:AC78"/>
  <sheetViews>
    <sheetView showGridLines="0" zoomScale="80" zoomScaleNormal="80" workbookViewId="0">
      <selection activeCell="F61" sqref="F61"/>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0.33333333333333331</v>
      </c>
      <c r="B1" s="37">
        <v>46062</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43" t="s">
        <v>59</v>
      </c>
      <c r="B4" s="44">
        <v>46043</v>
      </c>
      <c r="C4" s="45">
        <v>5</v>
      </c>
      <c r="D4" s="45">
        <v>4</v>
      </c>
      <c r="E4" s="43" t="s">
        <v>46</v>
      </c>
      <c r="F4" s="43" t="s">
        <v>200</v>
      </c>
      <c r="G4" s="43" t="s">
        <v>7</v>
      </c>
      <c r="H4" s="43" t="s">
        <v>18</v>
      </c>
      <c r="I4" s="43" t="s">
        <v>56</v>
      </c>
      <c r="J4" s="43" t="s">
        <v>49</v>
      </c>
      <c r="K4" s="43" t="s">
        <v>48</v>
      </c>
      <c r="AB4" s="2" t="s">
        <v>10</v>
      </c>
      <c r="AC4" s="2" t="s">
        <v>11</v>
      </c>
    </row>
    <row r="5" spans="1:29" s="2" customFormat="1" x14ac:dyDescent="0.3">
      <c r="A5" s="43" t="s">
        <v>81</v>
      </c>
      <c r="B5" s="44">
        <v>46034</v>
      </c>
      <c r="C5" s="45">
        <v>2</v>
      </c>
      <c r="D5" s="45">
        <v>0</v>
      </c>
      <c r="E5" s="43" t="s">
        <v>41</v>
      </c>
      <c r="F5" s="64" t="s">
        <v>98</v>
      </c>
      <c r="G5" s="43" t="s">
        <v>7</v>
      </c>
      <c r="H5" s="43" t="s">
        <v>18</v>
      </c>
      <c r="I5" s="43" t="s">
        <v>56</v>
      </c>
      <c r="J5" s="43" t="s">
        <v>82</v>
      </c>
      <c r="K5" s="43" t="s">
        <v>22</v>
      </c>
      <c r="AB5" s="2" t="s">
        <v>14</v>
      </c>
      <c r="AC5" s="2">
        <v>17</v>
      </c>
    </row>
    <row r="6" spans="1:29" s="2" customFormat="1" x14ac:dyDescent="0.3">
      <c r="A6" s="43" t="s">
        <v>89</v>
      </c>
      <c r="B6" s="44">
        <v>46057</v>
      </c>
      <c r="C6" s="45">
        <v>1</v>
      </c>
      <c r="D6" s="45">
        <v>0</v>
      </c>
      <c r="E6" s="43" t="s">
        <v>90</v>
      </c>
      <c r="F6" s="64" t="s">
        <v>98</v>
      </c>
      <c r="G6" s="43" t="s">
        <v>7</v>
      </c>
      <c r="H6" s="43" t="s">
        <v>18</v>
      </c>
      <c r="I6" s="43" t="s">
        <v>56</v>
      </c>
      <c r="J6" s="43" t="s">
        <v>26</v>
      </c>
      <c r="K6" s="43" t="s">
        <v>91</v>
      </c>
      <c r="N6" s="10"/>
      <c r="AB6" s="2" t="s">
        <v>15</v>
      </c>
      <c r="AC6" s="2">
        <v>3</v>
      </c>
    </row>
    <row r="7" spans="1:29" s="2" customFormat="1" x14ac:dyDescent="0.3">
      <c r="A7" s="43" t="s">
        <v>116</v>
      </c>
      <c r="B7" s="44">
        <v>46050</v>
      </c>
      <c r="C7" s="45">
        <v>1</v>
      </c>
      <c r="D7" s="45">
        <v>0</v>
      </c>
      <c r="E7" s="43" t="s">
        <v>54</v>
      </c>
      <c r="F7" s="43" t="s">
        <v>200</v>
      </c>
      <c r="G7" s="43" t="s">
        <v>7</v>
      </c>
      <c r="H7" s="43" t="s">
        <v>18</v>
      </c>
      <c r="I7" s="43" t="s">
        <v>56</v>
      </c>
      <c r="J7" s="43" t="s">
        <v>117</v>
      </c>
      <c r="K7" s="43" t="s">
        <v>118</v>
      </c>
      <c r="N7" s="10"/>
      <c r="V7" s="11"/>
      <c r="AB7" s="2" t="s">
        <v>16</v>
      </c>
      <c r="AC7" s="2">
        <v>4</v>
      </c>
    </row>
    <row r="8" spans="1:29" s="2" customFormat="1" x14ac:dyDescent="0.3">
      <c r="A8" s="43" t="s">
        <v>128</v>
      </c>
      <c r="B8" s="44">
        <v>46035</v>
      </c>
      <c r="C8" s="45">
        <v>1</v>
      </c>
      <c r="D8" s="45">
        <v>0</v>
      </c>
      <c r="E8" s="43" t="s">
        <v>129</v>
      </c>
      <c r="F8" s="43" t="s">
        <v>200</v>
      </c>
      <c r="G8" s="43" t="s">
        <v>7</v>
      </c>
      <c r="H8" s="43" t="s">
        <v>64</v>
      </c>
      <c r="I8" s="43" t="s">
        <v>9</v>
      </c>
      <c r="J8" s="43" t="s">
        <v>65</v>
      </c>
      <c r="K8" s="43" t="s">
        <v>48</v>
      </c>
      <c r="N8" s="10"/>
    </row>
    <row r="9" spans="1:29" s="2" customFormat="1" x14ac:dyDescent="0.3">
      <c r="A9" s="43" t="s">
        <v>138</v>
      </c>
      <c r="B9" s="44">
        <v>46006</v>
      </c>
      <c r="C9" s="45">
        <v>5</v>
      </c>
      <c r="D9" s="45">
        <v>0</v>
      </c>
      <c r="E9" s="43" t="s">
        <v>45</v>
      </c>
      <c r="F9" s="43" t="s">
        <v>200</v>
      </c>
      <c r="G9" s="43" t="s">
        <v>7</v>
      </c>
      <c r="H9" s="43" t="s">
        <v>139</v>
      </c>
      <c r="I9" s="43" t="s">
        <v>20</v>
      </c>
      <c r="J9" s="43" t="s">
        <v>140</v>
      </c>
      <c r="K9" s="43" t="s">
        <v>22</v>
      </c>
      <c r="N9" s="10"/>
    </row>
    <row r="10" spans="1:29" s="2" customFormat="1" x14ac:dyDescent="0.3">
      <c r="A10" s="43" t="s">
        <v>141</v>
      </c>
      <c r="B10" s="44">
        <v>46048</v>
      </c>
      <c r="C10" s="45">
        <v>4</v>
      </c>
      <c r="D10" s="45">
        <v>0</v>
      </c>
      <c r="E10" s="43" t="s">
        <v>142</v>
      </c>
      <c r="F10" s="43" t="s">
        <v>200</v>
      </c>
      <c r="G10" s="43" t="s">
        <v>7</v>
      </c>
      <c r="H10" s="43" t="s">
        <v>139</v>
      </c>
      <c r="I10" s="43" t="s">
        <v>20</v>
      </c>
      <c r="J10" s="43" t="s">
        <v>140</v>
      </c>
      <c r="K10" s="43" t="s">
        <v>22</v>
      </c>
    </row>
    <row r="11" spans="1:29" s="2" customFormat="1" x14ac:dyDescent="0.3">
      <c r="A11" s="43" t="s">
        <v>143</v>
      </c>
      <c r="B11" s="44">
        <v>46014</v>
      </c>
      <c r="C11" s="45">
        <v>2</v>
      </c>
      <c r="D11" s="45">
        <v>1</v>
      </c>
      <c r="E11" s="43" t="s">
        <v>29</v>
      </c>
      <c r="F11" s="43" t="s">
        <v>200</v>
      </c>
      <c r="G11" s="43" t="s">
        <v>7</v>
      </c>
      <c r="H11" s="43" t="s">
        <v>18</v>
      </c>
      <c r="I11" s="43" t="s">
        <v>56</v>
      </c>
      <c r="J11" s="43" t="s">
        <v>140</v>
      </c>
      <c r="K11" s="43" t="s">
        <v>22</v>
      </c>
    </row>
    <row r="12" spans="1:29" s="2" customFormat="1" x14ac:dyDescent="0.3">
      <c r="A12" s="43" t="s">
        <v>152</v>
      </c>
      <c r="B12" s="44">
        <v>46006</v>
      </c>
      <c r="C12" s="45">
        <v>1</v>
      </c>
      <c r="D12" s="45">
        <v>0</v>
      </c>
      <c r="E12" s="43" t="s">
        <v>153</v>
      </c>
      <c r="F12" s="43" t="s">
        <v>200</v>
      </c>
      <c r="G12" s="43" t="s">
        <v>7</v>
      </c>
      <c r="H12" s="43" t="s">
        <v>33</v>
      </c>
      <c r="I12" s="43" t="s">
        <v>20</v>
      </c>
      <c r="J12" s="43" t="s">
        <v>77</v>
      </c>
      <c r="K12" s="43" t="s">
        <v>13</v>
      </c>
    </row>
    <row r="13" spans="1:29" s="2" customFormat="1" x14ac:dyDescent="0.3">
      <c r="A13" s="43" t="s">
        <v>162</v>
      </c>
      <c r="B13" s="44">
        <v>46019</v>
      </c>
      <c r="C13" s="45">
        <v>1</v>
      </c>
      <c r="D13" s="45">
        <v>0</v>
      </c>
      <c r="E13" s="43" t="s">
        <v>166</v>
      </c>
      <c r="F13" s="43" t="s">
        <v>200</v>
      </c>
      <c r="G13" s="43" t="s">
        <v>7</v>
      </c>
      <c r="H13" s="43" t="s">
        <v>33</v>
      </c>
      <c r="I13" s="43" t="s">
        <v>20</v>
      </c>
      <c r="J13" s="43" t="s">
        <v>166</v>
      </c>
      <c r="K13" s="43" t="s">
        <v>13</v>
      </c>
    </row>
    <row r="14" spans="1:29" s="2" customFormat="1" x14ac:dyDescent="0.3">
      <c r="A14" s="43" t="s">
        <v>188</v>
      </c>
      <c r="B14" s="44">
        <v>46036</v>
      </c>
      <c r="C14" s="45">
        <v>1</v>
      </c>
      <c r="D14" s="45">
        <v>0</v>
      </c>
      <c r="E14" s="43" t="s">
        <v>41</v>
      </c>
      <c r="F14" s="43" t="s">
        <v>98</v>
      </c>
      <c r="G14" s="43" t="s">
        <v>7</v>
      </c>
      <c r="H14" s="43" t="s">
        <v>18</v>
      </c>
      <c r="I14" s="43" t="s">
        <v>56</v>
      </c>
      <c r="J14" s="43" t="s">
        <v>82</v>
      </c>
      <c r="K14" s="43" t="s">
        <v>22</v>
      </c>
    </row>
    <row r="15" spans="1:29" s="2" customFormat="1" x14ac:dyDescent="0.3">
      <c r="A15" s="43" t="s">
        <v>198</v>
      </c>
      <c r="B15" s="44">
        <v>46045</v>
      </c>
      <c r="C15" s="45">
        <v>1</v>
      </c>
      <c r="D15" s="45">
        <v>0</v>
      </c>
      <c r="E15" s="43" t="s">
        <v>199</v>
      </c>
      <c r="F15" s="43" t="s">
        <v>200</v>
      </c>
      <c r="G15" s="43" t="s">
        <v>7</v>
      </c>
      <c r="H15" s="43" t="s">
        <v>33</v>
      </c>
      <c r="I15" s="43" t="s">
        <v>20</v>
      </c>
      <c r="J15" s="43" t="s">
        <v>12</v>
      </c>
      <c r="K15" s="43" t="s">
        <v>24</v>
      </c>
    </row>
    <row r="16" spans="1:29" s="2" customFormat="1" x14ac:dyDescent="0.3">
      <c r="A16" s="43" t="s">
        <v>213</v>
      </c>
      <c r="B16" s="44">
        <v>46043</v>
      </c>
      <c r="C16" s="45">
        <v>2</v>
      </c>
      <c r="D16" s="45">
        <v>0</v>
      </c>
      <c r="E16" s="43" t="s">
        <v>214</v>
      </c>
      <c r="F16" s="43" t="s">
        <v>200</v>
      </c>
      <c r="G16" s="43" t="s">
        <v>7</v>
      </c>
      <c r="H16" s="43" t="s">
        <v>220</v>
      </c>
      <c r="I16" s="43" t="s">
        <v>20</v>
      </c>
      <c r="J16" s="43" t="s">
        <v>215</v>
      </c>
      <c r="K16" s="43" t="s">
        <v>216</v>
      </c>
    </row>
    <row r="17" spans="1:11" s="2" customFormat="1" x14ac:dyDescent="0.3">
      <c r="A17" s="43" t="s">
        <v>217</v>
      </c>
      <c r="B17" s="44">
        <v>46051</v>
      </c>
      <c r="C17" s="45">
        <v>1</v>
      </c>
      <c r="D17" s="45">
        <v>0</v>
      </c>
      <c r="E17" s="43" t="s">
        <v>218</v>
      </c>
      <c r="F17" s="43" t="s">
        <v>200</v>
      </c>
      <c r="G17" s="43" t="s">
        <v>7</v>
      </c>
      <c r="H17" s="43" t="s">
        <v>148</v>
      </c>
      <c r="I17" s="43" t="s">
        <v>9</v>
      </c>
      <c r="J17" s="43" t="s">
        <v>121</v>
      </c>
      <c r="K17" s="43" t="s">
        <v>13</v>
      </c>
    </row>
    <row r="18" spans="1:11" s="2" customFormat="1" x14ac:dyDescent="0.3">
      <c r="A18" s="43" t="s">
        <v>221</v>
      </c>
      <c r="B18" s="44">
        <v>46050</v>
      </c>
      <c r="C18" s="45">
        <v>2</v>
      </c>
      <c r="D18" s="45">
        <v>0</v>
      </c>
      <c r="E18" s="43" t="s">
        <v>201</v>
      </c>
      <c r="F18" s="43" t="s">
        <v>200</v>
      </c>
      <c r="G18" s="43" t="s">
        <v>7</v>
      </c>
      <c r="H18" s="43" t="s">
        <v>47</v>
      </c>
      <c r="I18" s="43" t="s">
        <v>9</v>
      </c>
      <c r="J18" s="43" t="s">
        <v>105</v>
      </c>
      <c r="K18" s="43" t="s">
        <v>43</v>
      </c>
    </row>
    <row r="19" spans="1:11" s="2" customFormat="1" x14ac:dyDescent="0.3">
      <c r="A19" s="43" t="s">
        <v>228</v>
      </c>
      <c r="B19" s="44">
        <v>46045</v>
      </c>
      <c r="C19" s="45">
        <v>1</v>
      </c>
      <c r="D19" s="45">
        <v>0</v>
      </c>
      <c r="E19" s="43" t="s">
        <v>30</v>
      </c>
      <c r="F19" s="43" t="s">
        <v>200</v>
      </c>
      <c r="G19" s="43" t="s">
        <v>7</v>
      </c>
      <c r="H19" s="43" t="s">
        <v>8</v>
      </c>
      <c r="I19" s="43" t="s">
        <v>9</v>
      </c>
      <c r="J19" s="43" t="s">
        <v>12</v>
      </c>
      <c r="K19" s="43" t="s">
        <v>24</v>
      </c>
    </row>
    <row r="20" spans="1:11" s="2" customFormat="1" ht="15" customHeight="1" x14ac:dyDescent="0.3">
      <c r="A20" s="43" t="s">
        <v>229</v>
      </c>
      <c r="B20" s="44">
        <v>46049</v>
      </c>
      <c r="C20" s="45">
        <v>3</v>
      </c>
      <c r="D20" s="45">
        <v>0</v>
      </c>
      <c r="E20" s="43" t="s">
        <v>45</v>
      </c>
      <c r="F20" s="43" t="s">
        <v>98</v>
      </c>
      <c r="G20" s="43" t="s">
        <v>7</v>
      </c>
      <c r="H20" s="43" t="s">
        <v>33</v>
      </c>
      <c r="I20" s="43" t="s">
        <v>20</v>
      </c>
      <c r="J20" s="43" t="s">
        <v>121</v>
      </c>
      <c r="K20" s="43" t="s">
        <v>13</v>
      </c>
    </row>
    <row r="21" spans="1:11" s="2" customFormat="1" ht="13.95" customHeight="1" x14ac:dyDescent="0.3">
      <c r="A21" s="43" t="s">
        <v>233</v>
      </c>
      <c r="B21" s="44">
        <v>46050</v>
      </c>
      <c r="C21" s="45">
        <v>3</v>
      </c>
      <c r="D21" s="45">
        <v>0</v>
      </c>
      <c r="E21" s="43" t="s">
        <v>63</v>
      </c>
      <c r="F21" s="43" t="s">
        <v>200</v>
      </c>
      <c r="G21" s="43" t="s">
        <v>7</v>
      </c>
      <c r="H21" s="43" t="s">
        <v>33</v>
      </c>
      <c r="I21" s="43" t="s">
        <v>20</v>
      </c>
      <c r="J21" s="43" t="s">
        <v>65</v>
      </c>
      <c r="K21" s="43" t="s">
        <v>48</v>
      </c>
    </row>
    <row r="22" spans="1:11" s="2" customFormat="1" x14ac:dyDescent="0.3">
      <c r="A22" s="43" t="s">
        <v>234</v>
      </c>
      <c r="B22" s="44">
        <v>46056</v>
      </c>
      <c r="C22" s="45">
        <v>30</v>
      </c>
      <c r="D22" s="45">
        <v>0</v>
      </c>
      <c r="E22" s="43" t="s">
        <v>45</v>
      </c>
      <c r="F22" s="43" t="s">
        <v>200</v>
      </c>
      <c r="G22" s="43" t="s">
        <v>7</v>
      </c>
      <c r="H22" s="43" t="s">
        <v>259</v>
      </c>
      <c r="I22" s="43" t="s">
        <v>20</v>
      </c>
      <c r="J22" s="43" t="s">
        <v>49</v>
      </c>
      <c r="K22" s="43" t="s">
        <v>91</v>
      </c>
    </row>
    <row r="23" spans="1:11" s="2" customFormat="1" x14ac:dyDescent="0.3">
      <c r="A23" s="43" t="s">
        <v>245</v>
      </c>
      <c r="B23" s="44">
        <v>46058</v>
      </c>
      <c r="C23" s="45">
        <v>1</v>
      </c>
      <c r="D23" s="45">
        <v>0</v>
      </c>
      <c r="E23" s="43" t="s">
        <v>46</v>
      </c>
      <c r="F23" s="43" t="s">
        <v>98</v>
      </c>
      <c r="G23" s="43" t="s">
        <v>7</v>
      </c>
      <c r="H23" s="43" t="s">
        <v>33</v>
      </c>
      <c r="I23" s="43" t="s">
        <v>9</v>
      </c>
      <c r="J23" s="43" t="s">
        <v>49</v>
      </c>
      <c r="K23" s="43" t="s">
        <v>91</v>
      </c>
    </row>
    <row r="24" spans="1:11" s="2" customFormat="1" x14ac:dyDescent="0.3">
      <c r="A24" s="43" t="s">
        <v>246</v>
      </c>
      <c r="B24" s="44">
        <v>46055</v>
      </c>
      <c r="C24" s="45">
        <v>1</v>
      </c>
      <c r="D24" s="45">
        <v>0</v>
      </c>
      <c r="E24" s="43" t="s">
        <v>232</v>
      </c>
      <c r="F24" s="43" t="s">
        <v>200</v>
      </c>
      <c r="G24" s="43" t="s">
        <v>7</v>
      </c>
      <c r="H24" s="43" t="s">
        <v>33</v>
      </c>
      <c r="I24" s="43" t="s">
        <v>20</v>
      </c>
      <c r="J24" s="43" t="s">
        <v>65</v>
      </c>
      <c r="K24" s="43" t="s">
        <v>48</v>
      </c>
    </row>
    <row r="25" spans="1:11" s="2" customFormat="1" ht="15" customHeight="1" x14ac:dyDescent="0.3">
      <c r="A25" s="43" t="s">
        <v>247</v>
      </c>
      <c r="B25" s="44">
        <v>46056</v>
      </c>
      <c r="C25" s="45">
        <v>1</v>
      </c>
      <c r="D25" s="45">
        <v>0</v>
      </c>
      <c r="E25" s="43" t="s">
        <v>120</v>
      </c>
      <c r="F25" s="43" t="s">
        <v>200</v>
      </c>
      <c r="G25" s="43" t="s">
        <v>7</v>
      </c>
      <c r="H25" s="43" t="s">
        <v>260</v>
      </c>
      <c r="I25" s="43" t="s">
        <v>9</v>
      </c>
      <c r="J25" s="43" t="s">
        <v>248</v>
      </c>
      <c r="K25" s="43" t="s">
        <v>43</v>
      </c>
    </row>
    <row r="26" spans="1:11" s="2" customFormat="1" x14ac:dyDescent="0.3">
      <c r="A26" s="43" t="s">
        <v>249</v>
      </c>
      <c r="B26" s="44">
        <v>46055</v>
      </c>
      <c r="C26" s="45">
        <v>2</v>
      </c>
      <c r="D26" s="45">
        <v>0</v>
      </c>
      <c r="E26" s="43" t="s">
        <v>45</v>
      </c>
      <c r="F26" s="43" t="s">
        <v>98</v>
      </c>
      <c r="G26" s="43" t="s">
        <v>7</v>
      </c>
      <c r="H26" s="43" t="s">
        <v>139</v>
      </c>
      <c r="I26" s="43" t="s">
        <v>20</v>
      </c>
      <c r="J26" s="43" t="s">
        <v>33</v>
      </c>
      <c r="K26" s="43" t="s">
        <v>250</v>
      </c>
    </row>
    <row r="27" spans="1:11" s="2" customFormat="1" x14ac:dyDescent="0.3">
      <c r="A27" s="43" t="s">
        <v>255</v>
      </c>
      <c r="B27" s="44">
        <v>46056</v>
      </c>
      <c r="C27" s="45">
        <v>1</v>
      </c>
      <c r="D27" s="45">
        <v>0</v>
      </c>
      <c r="E27" s="43" t="s">
        <v>256</v>
      </c>
      <c r="F27" s="43" t="s">
        <v>98</v>
      </c>
      <c r="G27" s="43" t="s">
        <v>7</v>
      </c>
      <c r="H27" s="43" t="s">
        <v>18</v>
      </c>
      <c r="I27" s="43" t="s">
        <v>56</v>
      </c>
      <c r="J27" s="43" t="s">
        <v>134</v>
      </c>
      <c r="K27" s="43" t="s">
        <v>13</v>
      </c>
    </row>
    <row r="28" spans="1:11" s="2" customFormat="1" x14ac:dyDescent="0.3">
      <c r="A28" s="43" t="s">
        <v>257</v>
      </c>
      <c r="B28" s="44">
        <v>46059</v>
      </c>
      <c r="C28" s="45">
        <v>1</v>
      </c>
      <c r="D28" s="45">
        <v>0</v>
      </c>
      <c r="E28" s="43" t="s">
        <v>258</v>
      </c>
      <c r="F28" s="64" t="s">
        <v>98</v>
      </c>
      <c r="G28" s="43" t="s">
        <v>7</v>
      </c>
      <c r="H28" s="43" t="s">
        <v>18</v>
      </c>
      <c r="I28" s="43" t="s">
        <v>56</v>
      </c>
      <c r="J28" s="43" t="s">
        <v>134</v>
      </c>
      <c r="K28" s="43" t="s">
        <v>13</v>
      </c>
    </row>
    <row r="29" spans="1:11" s="2" customFormat="1" x14ac:dyDescent="0.3">
      <c r="A29" s="43" t="s">
        <v>261</v>
      </c>
      <c r="B29" s="44">
        <v>46056</v>
      </c>
      <c r="C29" s="45">
        <v>1</v>
      </c>
      <c r="D29" s="45">
        <v>0</v>
      </c>
      <c r="E29" s="43" t="s">
        <v>262</v>
      </c>
      <c r="F29" s="64" t="s">
        <v>98</v>
      </c>
      <c r="G29" s="43" t="s">
        <v>7</v>
      </c>
      <c r="H29" s="43" t="s">
        <v>183</v>
      </c>
      <c r="I29" s="43" t="s">
        <v>20</v>
      </c>
      <c r="J29" s="43" t="s">
        <v>191</v>
      </c>
      <c r="K29" s="43" t="s">
        <v>13</v>
      </c>
    </row>
    <row r="30" spans="1:11" s="2" customFormat="1" x14ac:dyDescent="0.3">
      <c r="A30" s="70"/>
      <c r="B30" s="71"/>
      <c r="C30" s="72"/>
      <c r="D30" s="72"/>
      <c r="E30" s="70"/>
      <c r="F30" s="70"/>
      <c r="G30" s="70"/>
      <c r="H30" s="70"/>
      <c r="I30" s="70"/>
      <c r="J30" s="70"/>
      <c r="K30" s="70"/>
    </row>
    <row r="31" spans="1:11" s="2" customFormat="1" ht="13.95" hidden="1" customHeight="1" x14ac:dyDescent="0.3">
      <c r="A31" s="67"/>
      <c r="B31" s="68"/>
      <c r="C31" s="69"/>
      <c r="D31" s="69"/>
      <c r="E31" s="67"/>
      <c r="F31" s="67"/>
      <c r="G31" s="67"/>
      <c r="H31" s="67"/>
      <c r="I31" s="67"/>
      <c r="J31" s="67"/>
      <c r="K31" s="67"/>
    </row>
    <row r="32" spans="1:11" s="2" customFormat="1" ht="14.25" hidden="1" customHeight="1" x14ac:dyDescent="0.3">
      <c r="A32" s="43"/>
      <c r="B32" s="44"/>
      <c r="C32" s="45"/>
      <c r="D32" s="45"/>
      <c r="E32" s="43"/>
      <c r="F32" s="43"/>
      <c r="G32" s="43"/>
      <c r="H32" s="43"/>
      <c r="I32" s="43"/>
      <c r="J32" s="43"/>
      <c r="K32" s="43"/>
    </row>
    <row r="33" spans="1:19" s="2" customFormat="1" ht="14.25" hidden="1" customHeight="1" x14ac:dyDescent="0.3">
      <c r="A33" s="43"/>
      <c r="B33" s="44"/>
      <c r="C33" s="45"/>
      <c r="D33" s="45"/>
      <c r="E33" s="43"/>
      <c r="F33" s="43"/>
      <c r="G33" s="43"/>
      <c r="H33" s="43"/>
      <c r="I33" s="43"/>
      <c r="J33" s="43"/>
      <c r="K33" s="43"/>
    </row>
    <row r="34" spans="1:19" ht="15" thickBot="1" x14ac:dyDescent="0.35">
      <c r="A34" s="40"/>
      <c r="B34" s="41"/>
      <c r="C34" s="42"/>
      <c r="D34" s="42"/>
      <c r="E34" s="40"/>
      <c r="F34" s="40"/>
      <c r="G34" s="40"/>
      <c r="H34" s="40"/>
      <c r="I34" s="40"/>
      <c r="J34" s="40"/>
      <c r="K34" s="40"/>
      <c r="P34" s="3"/>
      <c r="Q34" s="3"/>
      <c r="R34" s="4"/>
      <c r="S34" s="4"/>
    </row>
    <row r="35" spans="1:19" ht="15" thickBot="1" x14ac:dyDescent="0.35">
      <c r="B35" s="34" t="s">
        <v>31</v>
      </c>
      <c r="C35" s="12">
        <f>SUM(C4:C30)-SUM(D4:D30)</f>
        <v>70</v>
      </c>
      <c r="D35" s="29"/>
      <c r="F35" s="35" t="s">
        <v>57</v>
      </c>
      <c r="G35" s="36">
        <f>COUNTIF(I4:I30,"Pending")</f>
        <v>8</v>
      </c>
      <c r="I35" s="38" t="s">
        <v>58</v>
      </c>
      <c r="J35" s="39">
        <f>C35-G35</f>
        <v>62</v>
      </c>
    </row>
    <row r="36" spans="1:19" x14ac:dyDescent="0.3">
      <c r="G36" s="3"/>
      <c r="H36" s="4"/>
      <c r="I36" s="3"/>
    </row>
    <row r="37" spans="1:19" hidden="1" x14ac:dyDescent="0.3">
      <c r="D37" s="13"/>
    </row>
    <row r="38" spans="1:19" s="6" customFormat="1" ht="28.8" x14ac:dyDescent="0.3">
      <c r="A38" s="28" t="s">
        <v>0</v>
      </c>
      <c r="B38" s="28" t="s">
        <v>1</v>
      </c>
      <c r="C38" s="28" t="s">
        <v>2</v>
      </c>
      <c r="D38" s="28" t="s">
        <v>3</v>
      </c>
      <c r="E38" s="28" t="s">
        <v>4</v>
      </c>
      <c r="F38" s="28" t="s">
        <v>51</v>
      </c>
      <c r="G38" s="28" t="s">
        <v>52</v>
      </c>
      <c r="H38" s="28" t="s">
        <v>5</v>
      </c>
      <c r="I38" s="28" t="s">
        <v>53</v>
      </c>
      <c r="J38" s="28" t="s">
        <v>27</v>
      </c>
      <c r="K38" s="28" t="s">
        <v>6</v>
      </c>
    </row>
    <row r="39" spans="1:19" s="14" customFormat="1" x14ac:dyDescent="0.3">
      <c r="A39" s="64" t="s">
        <v>74</v>
      </c>
      <c r="B39" s="65">
        <v>46056</v>
      </c>
      <c r="C39" s="66">
        <v>1</v>
      </c>
      <c r="D39" s="66">
        <v>0</v>
      </c>
      <c r="E39" s="64" t="s">
        <v>75</v>
      </c>
      <c r="F39" s="64" t="s">
        <v>98</v>
      </c>
      <c r="G39" s="64" t="s">
        <v>32</v>
      </c>
      <c r="H39" s="64" t="s">
        <v>76</v>
      </c>
      <c r="I39" s="64" t="s">
        <v>20</v>
      </c>
      <c r="J39" s="64" t="s">
        <v>77</v>
      </c>
      <c r="K39" s="64" t="s">
        <v>13</v>
      </c>
    </row>
    <row r="40" spans="1:19" s="14" customFormat="1" x14ac:dyDescent="0.3">
      <c r="A40" s="64" t="s">
        <v>170</v>
      </c>
      <c r="B40" s="65">
        <v>46013</v>
      </c>
      <c r="C40" s="66">
        <v>1</v>
      </c>
      <c r="D40" s="66">
        <v>0</v>
      </c>
      <c r="E40" s="64" t="s">
        <v>171</v>
      </c>
      <c r="F40" s="43" t="s">
        <v>200</v>
      </c>
      <c r="G40" s="64" t="s">
        <v>32</v>
      </c>
      <c r="H40" s="64" t="s">
        <v>148</v>
      </c>
      <c r="I40" s="64" t="s">
        <v>20</v>
      </c>
      <c r="J40" s="64" t="s">
        <v>105</v>
      </c>
      <c r="K40" s="64" t="s">
        <v>19</v>
      </c>
    </row>
    <row r="41" spans="1:19" s="14" customFormat="1" ht="15" customHeight="1" x14ac:dyDescent="0.3">
      <c r="A41" s="64" t="s">
        <v>92</v>
      </c>
      <c r="B41" s="65">
        <v>46056</v>
      </c>
      <c r="C41" s="66">
        <v>1</v>
      </c>
      <c r="D41" s="66">
        <v>0</v>
      </c>
      <c r="E41" s="64" t="s">
        <v>93</v>
      </c>
      <c r="F41" s="64" t="s">
        <v>98</v>
      </c>
      <c r="G41" s="64" t="s">
        <v>32</v>
      </c>
      <c r="H41" s="64" t="s">
        <v>94</v>
      </c>
      <c r="I41" s="64" t="s">
        <v>20</v>
      </c>
      <c r="J41" s="64" t="s">
        <v>95</v>
      </c>
      <c r="K41" s="64" t="s">
        <v>91</v>
      </c>
    </row>
    <row r="42" spans="1:19" s="14" customFormat="1" ht="15" customHeight="1" x14ac:dyDescent="0.3">
      <c r="A42" s="64" t="s">
        <v>99</v>
      </c>
      <c r="B42" s="65">
        <v>46056</v>
      </c>
      <c r="C42" s="66">
        <v>1</v>
      </c>
      <c r="D42" s="66">
        <v>0</v>
      </c>
      <c r="E42" s="64" t="s">
        <v>166</v>
      </c>
      <c r="F42" s="64" t="s">
        <v>98</v>
      </c>
      <c r="G42" s="64" t="s">
        <v>32</v>
      </c>
      <c r="H42" s="64" t="s">
        <v>44</v>
      </c>
      <c r="I42" s="64" t="s">
        <v>20</v>
      </c>
      <c r="J42" s="64" t="s">
        <v>166</v>
      </c>
      <c r="K42" s="64" t="s">
        <v>13</v>
      </c>
    </row>
    <row r="43" spans="1:19" s="18" customFormat="1" ht="15" customHeight="1" x14ac:dyDescent="0.3">
      <c r="A43" s="64" t="s">
        <v>100</v>
      </c>
      <c r="B43" s="65">
        <v>46056</v>
      </c>
      <c r="C43" s="66">
        <v>2</v>
      </c>
      <c r="D43" s="66">
        <v>1</v>
      </c>
      <c r="E43" s="64" t="s">
        <v>101</v>
      </c>
      <c r="F43" s="64" t="s">
        <v>98</v>
      </c>
      <c r="G43" s="64" t="s">
        <v>32</v>
      </c>
      <c r="H43" s="64" t="s">
        <v>235</v>
      </c>
      <c r="I43" s="64" t="s">
        <v>20</v>
      </c>
      <c r="J43" s="64" t="s">
        <v>103</v>
      </c>
      <c r="K43" s="64" t="s">
        <v>21</v>
      </c>
    </row>
    <row r="44" spans="1:19" s="18" customFormat="1" ht="15" customHeight="1" x14ac:dyDescent="0.3">
      <c r="A44" s="64" t="s">
        <v>122</v>
      </c>
      <c r="B44" s="65">
        <v>46058</v>
      </c>
      <c r="C44" s="66">
        <v>2</v>
      </c>
      <c r="D44" s="66">
        <v>1</v>
      </c>
      <c r="E44" s="64" t="s">
        <v>236</v>
      </c>
      <c r="F44" s="64" t="s">
        <v>98</v>
      </c>
      <c r="G44" s="64" t="s">
        <v>32</v>
      </c>
      <c r="H44" s="64" t="s">
        <v>23</v>
      </c>
      <c r="I44" s="64" t="s">
        <v>20</v>
      </c>
      <c r="J44" s="64" t="s">
        <v>121</v>
      </c>
      <c r="K44" s="64" t="s">
        <v>13</v>
      </c>
    </row>
    <row r="45" spans="1:19" s="18" customFormat="1" ht="15" customHeight="1" x14ac:dyDescent="0.3">
      <c r="A45" s="64" t="s">
        <v>154</v>
      </c>
      <c r="B45" s="65">
        <v>46056</v>
      </c>
      <c r="C45" s="66">
        <v>1</v>
      </c>
      <c r="D45" s="66">
        <v>0</v>
      </c>
      <c r="E45" s="64" t="s">
        <v>155</v>
      </c>
      <c r="F45" s="64" t="s">
        <v>98</v>
      </c>
      <c r="G45" s="64" t="s">
        <v>32</v>
      </c>
      <c r="H45" s="64" t="s">
        <v>47</v>
      </c>
      <c r="I45" s="64" t="s">
        <v>20</v>
      </c>
      <c r="J45" s="64" t="s">
        <v>156</v>
      </c>
      <c r="K45" s="64" t="s">
        <v>13</v>
      </c>
    </row>
    <row r="46" spans="1:19" s="18" customFormat="1" ht="15" customHeight="1" x14ac:dyDescent="0.3">
      <c r="A46" s="64" t="s">
        <v>157</v>
      </c>
      <c r="B46" s="65">
        <v>46056</v>
      </c>
      <c r="C46" s="66">
        <v>1</v>
      </c>
      <c r="D46" s="66">
        <v>0</v>
      </c>
      <c r="E46" s="64" t="s">
        <v>158</v>
      </c>
      <c r="F46" s="64" t="s">
        <v>98</v>
      </c>
      <c r="G46" s="64" t="s">
        <v>32</v>
      </c>
      <c r="H46" s="64" t="s">
        <v>17</v>
      </c>
      <c r="I46" s="64" t="s">
        <v>20</v>
      </c>
      <c r="J46" s="64" t="s">
        <v>159</v>
      </c>
      <c r="K46" s="64" t="s">
        <v>28</v>
      </c>
    </row>
    <row r="47" spans="1:19" s="18" customFormat="1" ht="15" customHeight="1" x14ac:dyDescent="0.3">
      <c r="A47" s="64" t="s">
        <v>172</v>
      </c>
      <c r="B47" s="65">
        <v>46056</v>
      </c>
      <c r="C47" s="66">
        <v>1</v>
      </c>
      <c r="D47" s="66">
        <v>0</v>
      </c>
      <c r="E47" s="64" t="s">
        <v>173</v>
      </c>
      <c r="F47" s="64" t="s">
        <v>98</v>
      </c>
      <c r="G47" s="64" t="s">
        <v>32</v>
      </c>
      <c r="H47" s="64" t="s">
        <v>33</v>
      </c>
      <c r="I47" s="64" t="s">
        <v>20</v>
      </c>
      <c r="J47" s="64" t="s">
        <v>175</v>
      </c>
      <c r="K47" s="64" t="s">
        <v>176</v>
      </c>
    </row>
    <row r="48" spans="1:19" s="18" customFormat="1" ht="15" customHeight="1" x14ac:dyDescent="0.3">
      <c r="A48" s="64" t="s">
        <v>202</v>
      </c>
      <c r="B48" s="65">
        <v>46056</v>
      </c>
      <c r="C48" s="66">
        <v>1</v>
      </c>
      <c r="D48" s="66">
        <v>0</v>
      </c>
      <c r="E48" s="64" t="s">
        <v>54</v>
      </c>
      <c r="F48" s="64" t="s">
        <v>98</v>
      </c>
      <c r="G48" s="64" t="s">
        <v>32</v>
      </c>
      <c r="H48" s="64" t="s">
        <v>17</v>
      </c>
      <c r="I48" s="64" t="s">
        <v>20</v>
      </c>
      <c r="J48" s="64" t="s">
        <v>203</v>
      </c>
      <c r="K48" s="64" t="s">
        <v>19</v>
      </c>
    </row>
    <row r="49" spans="1:19" s="18" customFormat="1" ht="15" customHeight="1" x14ac:dyDescent="0.3">
      <c r="A49" s="64" t="s">
        <v>204</v>
      </c>
      <c r="B49" s="65">
        <v>46056</v>
      </c>
      <c r="C49" s="66">
        <v>1</v>
      </c>
      <c r="D49" s="66">
        <v>0</v>
      </c>
      <c r="E49" s="64" t="s">
        <v>205</v>
      </c>
      <c r="F49" s="64" t="s">
        <v>98</v>
      </c>
      <c r="G49" s="64" t="s">
        <v>32</v>
      </c>
      <c r="H49" s="64" t="s">
        <v>17</v>
      </c>
      <c r="I49" s="64" t="s">
        <v>20</v>
      </c>
      <c r="J49" s="64" t="s">
        <v>206</v>
      </c>
      <c r="K49" s="64" t="s">
        <v>13</v>
      </c>
    </row>
    <row r="50" spans="1:19" s="18" customFormat="1" ht="15" customHeight="1" x14ac:dyDescent="0.3">
      <c r="A50" s="64" t="s">
        <v>209</v>
      </c>
      <c r="B50" s="65">
        <v>46056</v>
      </c>
      <c r="C50" s="66">
        <v>1</v>
      </c>
      <c r="D50" s="66">
        <v>0</v>
      </c>
      <c r="E50" s="64" t="s">
        <v>210</v>
      </c>
      <c r="F50" s="64" t="s">
        <v>98</v>
      </c>
      <c r="G50" s="64" t="s">
        <v>32</v>
      </c>
      <c r="H50" s="64" t="s">
        <v>17</v>
      </c>
      <c r="I50" s="64" t="s">
        <v>20</v>
      </c>
      <c r="J50" s="64" t="s">
        <v>206</v>
      </c>
      <c r="K50" s="64" t="s">
        <v>13</v>
      </c>
    </row>
    <row r="51" spans="1:19" s="18" customFormat="1" ht="15" customHeight="1" x14ac:dyDescent="0.3">
      <c r="A51" s="64" t="s">
        <v>251</v>
      </c>
      <c r="B51" s="65">
        <v>46056</v>
      </c>
      <c r="C51" s="66">
        <v>1</v>
      </c>
      <c r="D51" s="66">
        <v>0</v>
      </c>
      <c r="E51" s="64" t="s">
        <v>193</v>
      </c>
      <c r="F51" s="64" t="s">
        <v>98</v>
      </c>
      <c r="G51" s="64" t="s">
        <v>32</v>
      </c>
      <c r="H51" s="64" t="s">
        <v>148</v>
      </c>
      <c r="I51" s="64" t="s">
        <v>20</v>
      </c>
      <c r="J51" s="64" t="s">
        <v>252</v>
      </c>
      <c r="K51" s="64" t="s">
        <v>48</v>
      </c>
    </row>
    <row r="52" spans="1:19" s="18" customFormat="1" ht="15" customHeight="1" x14ac:dyDescent="0.3">
      <c r="A52" s="64" t="s">
        <v>241</v>
      </c>
      <c r="B52" s="65">
        <v>46056</v>
      </c>
      <c r="C52" s="66">
        <v>1</v>
      </c>
      <c r="D52" s="66">
        <v>0</v>
      </c>
      <c r="E52" s="64" t="s">
        <v>147</v>
      </c>
      <c r="F52" s="64" t="s">
        <v>98</v>
      </c>
      <c r="G52" s="64" t="s">
        <v>32</v>
      </c>
      <c r="H52" s="64" t="s">
        <v>183</v>
      </c>
      <c r="I52" s="64" t="s">
        <v>20</v>
      </c>
      <c r="J52" s="64" t="s">
        <v>149</v>
      </c>
      <c r="K52" s="64" t="s">
        <v>242</v>
      </c>
    </row>
    <row r="53" spans="1:19" s="18" customFormat="1" ht="15" customHeight="1" thickBot="1" x14ac:dyDescent="0.35">
      <c r="A53" s="70"/>
      <c r="B53" s="71"/>
      <c r="C53" s="72"/>
      <c r="D53" s="72"/>
      <c r="E53" s="70"/>
      <c r="F53" s="70"/>
      <c r="G53" s="70"/>
      <c r="H53" s="70"/>
      <c r="I53" s="70"/>
      <c r="J53" s="70"/>
      <c r="K53" s="70"/>
    </row>
    <row r="54" spans="1:19" ht="15" hidden="1" thickBot="1" x14ac:dyDescent="0.35">
      <c r="A54" s="51"/>
      <c r="B54" s="52"/>
      <c r="C54" s="53"/>
      <c r="D54" s="53"/>
      <c r="E54" s="51"/>
      <c r="F54" s="51"/>
      <c r="G54" s="51"/>
      <c r="H54" s="51"/>
      <c r="I54" s="51"/>
      <c r="J54" s="51"/>
      <c r="K54" s="2"/>
    </row>
    <row r="55" spans="1:19" ht="15" thickBot="1" x14ac:dyDescent="0.35">
      <c r="B55" s="60" t="s">
        <v>34</v>
      </c>
      <c r="C55" s="61">
        <f>SUM(C39:C52)-SUM(D39:D52)</f>
        <v>14</v>
      </c>
      <c r="E55" s="2"/>
      <c r="F55" s="2"/>
      <c r="H55" s="2"/>
      <c r="J55" s="2"/>
      <c r="K55" s="2"/>
    </row>
    <row r="56" spans="1:19" x14ac:dyDescent="0.3">
      <c r="E56" s="2"/>
      <c r="F56" s="2"/>
      <c r="H56" s="2"/>
      <c r="J56" s="2"/>
      <c r="K56" s="2"/>
    </row>
    <row r="57" spans="1:19" hidden="1" x14ac:dyDescent="0.3">
      <c r="E57" s="2"/>
      <c r="F57" s="2"/>
      <c r="H57" s="2"/>
      <c r="J57" s="2"/>
      <c r="K57" s="2"/>
    </row>
    <row r="58" spans="1:19" s="2" customFormat="1" ht="34.35" customHeight="1" x14ac:dyDescent="0.3">
      <c r="A58" s="62" t="s">
        <v>0</v>
      </c>
      <c r="B58" s="62" t="s">
        <v>1</v>
      </c>
      <c r="C58" s="62" t="s">
        <v>2</v>
      </c>
      <c r="D58" s="62" t="s">
        <v>3</v>
      </c>
      <c r="E58" s="62" t="s">
        <v>4</v>
      </c>
      <c r="F58" s="62" t="s">
        <v>51</v>
      </c>
      <c r="G58" s="62" t="s">
        <v>52</v>
      </c>
      <c r="H58" s="62" t="s">
        <v>5</v>
      </c>
      <c r="I58" s="62" t="s">
        <v>53</v>
      </c>
      <c r="J58" s="62" t="s">
        <v>27</v>
      </c>
      <c r="K58" s="62" t="s">
        <v>6</v>
      </c>
    </row>
    <row r="59" spans="1:19" x14ac:dyDescent="0.3">
      <c r="A59" s="64" t="s">
        <v>163</v>
      </c>
      <c r="B59" s="65">
        <v>46050</v>
      </c>
      <c r="C59" s="66">
        <v>1</v>
      </c>
      <c r="D59" s="66">
        <v>0</v>
      </c>
      <c r="E59" s="64" t="s">
        <v>164</v>
      </c>
      <c r="F59" s="64" t="s">
        <v>98</v>
      </c>
      <c r="G59" s="64" t="s">
        <v>55</v>
      </c>
      <c r="H59" s="64" t="s">
        <v>17</v>
      </c>
      <c r="I59" s="64" t="s">
        <v>20</v>
      </c>
      <c r="J59" s="64" t="s">
        <v>165</v>
      </c>
      <c r="K59" s="64" t="s">
        <v>13</v>
      </c>
      <c r="R59" s="4"/>
      <c r="S59" s="4"/>
    </row>
    <row r="60" spans="1:19" x14ac:dyDescent="0.3">
      <c r="A60" s="64" t="s">
        <v>222</v>
      </c>
      <c r="B60" s="65">
        <v>46042</v>
      </c>
      <c r="C60" s="66">
        <v>1</v>
      </c>
      <c r="D60" s="66">
        <v>0</v>
      </c>
      <c r="E60" s="64" t="s">
        <v>223</v>
      </c>
      <c r="F60" s="43" t="s">
        <v>200</v>
      </c>
      <c r="G60" s="64" t="s">
        <v>55</v>
      </c>
      <c r="H60" s="64" t="s">
        <v>33</v>
      </c>
      <c r="I60" s="64" t="s">
        <v>20</v>
      </c>
      <c r="J60" s="64" t="s">
        <v>180</v>
      </c>
      <c r="K60" s="64" t="s">
        <v>13</v>
      </c>
      <c r="R60" s="4"/>
      <c r="S60" s="4"/>
    </row>
    <row r="61" spans="1:19" x14ac:dyDescent="0.3">
      <c r="A61" s="64" t="s">
        <v>224</v>
      </c>
      <c r="B61" s="65">
        <v>46043</v>
      </c>
      <c r="C61" s="66">
        <v>1</v>
      </c>
      <c r="D61" s="66">
        <v>0</v>
      </c>
      <c r="E61" s="64" t="s">
        <v>225</v>
      </c>
      <c r="F61" s="43" t="s">
        <v>200</v>
      </c>
      <c r="G61" s="64" t="s">
        <v>55</v>
      </c>
      <c r="H61" s="64" t="s">
        <v>33</v>
      </c>
      <c r="I61" s="64" t="s">
        <v>20</v>
      </c>
      <c r="J61" s="64" t="s">
        <v>180</v>
      </c>
      <c r="K61" s="64" t="s">
        <v>13</v>
      </c>
      <c r="R61" s="4"/>
      <c r="S61" s="4"/>
    </row>
    <row r="62" spans="1:19" x14ac:dyDescent="0.3">
      <c r="A62" s="64" t="s">
        <v>226</v>
      </c>
      <c r="B62" s="65">
        <v>46043</v>
      </c>
      <c r="C62" s="66">
        <v>2</v>
      </c>
      <c r="D62" s="66">
        <v>0</v>
      </c>
      <c r="E62" s="64" t="s">
        <v>227</v>
      </c>
      <c r="F62" s="43" t="s">
        <v>200</v>
      </c>
      <c r="G62" s="64" t="s">
        <v>55</v>
      </c>
      <c r="H62" s="64" t="s">
        <v>33</v>
      </c>
      <c r="I62" s="64" t="s">
        <v>20</v>
      </c>
      <c r="J62" s="64" t="s">
        <v>180</v>
      </c>
      <c r="K62" s="64" t="s">
        <v>13</v>
      </c>
      <c r="R62" s="4"/>
      <c r="S62" s="4"/>
    </row>
    <row r="63" spans="1:19" x14ac:dyDescent="0.3">
      <c r="A63" s="64" t="s">
        <v>230</v>
      </c>
      <c r="B63" s="65">
        <v>46044</v>
      </c>
      <c r="C63" s="66">
        <v>1</v>
      </c>
      <c r="D63" s="66">
        <v>0</v>
      </c>
      <c r="E63" s="64" t="s">
        <v>263</v>
      </c>
      <c r="F63" s="43" t="s">
        <v>200</v>
      </c>
      <c r="G63" s="64" t="s">
        <v>55</v>
      </c>
      <c r="H63" s="64" t="s">
        <v>33</v>
      </c>
      <c r="I63" s="64" t="s">
        <v>20</v>
      </c>
      <c r="J63" s="64" t="s">
        <v>12</v>
      </c>
      <c r="K63" s="64" t="s">
        <v>24</v>
      </c>
      <c r="R63" s="4"/>
      <c r="S63" s="4"/>
    </row>
    <row r="64" spans="1:19" x14ac:dyDescent="0.3">
      <c r="A64" s="64" t="s">
        <v>237</v>
      </c>
      <c r="B64" s="65">
        <v>46048</v>
      </c>
      <c r="C64" s="66">
        <v>1</v>
      </c>
      <c r="D64" s="66">
        <v>0</v>
      </c>
      <c r="E64" s="64" t="s">
        <v>238</v>
      </c>
      <c r="F64" s="43" t="s">
        <v>200</v>
      </c>
      <c r="G64" s="64" t="s">
        <v>55</v>
      </c>
      <c r="H64" s="64" t="s">
        <v>8</v>
      </c>
      <c r="I64" s="64" t="s">
        <v>20</v>
      </c>
      <c r="J64" s="64" t="s">
        <v>12</v>
      </c>
      <c r="K64" s="64" t="s">
        <v>13</v>
      </c>
      <c r="R64" s="4"/>
      <c r="S64" s="4"/>
    </row>
    <row r="65" spans="1:29" x14ac:dyDescent="0.3">
      <c r="A65" s="64" t="s">
        <v>243</v>
      </c>
      <c r="B65" s="65">
        <v>46050</v>
      </c>
      <c r="C65" s="66">
        <v>1</v>
      </c>
      <c r="D65" s="66">
        <v>0</v>
      </c>
      <c r="E65" s="64" t="s">
        <v>244</v>
      </c>
      <c r="F65" s="64" t="s">
        <v>98</v>
      </c>
      <c r="G65" s="64" t="s">
        <v>55</v>
      </c>
      <c r="H65" s="64" t="s">
        <v>102</v>
      </c>
      <c r="I65" s="64" t="s">
        <v>20</v>
      </c>
      <c r="J65" s="64" t="s">
        <v>103</v>
      </c>
      <c r="K65" s="64" t="s">
        <v>21</v>
      </c>
      <c r="R65" s="4"/>
      <c r="S65" s="4"/>
    </row>
    <row r="66" spans="1:29" x14ac:dyDescent="0.3">
      <c r="A66" s="64" t="s">
        <v>253</v>
      </c>
      <c r="B66" s="65">
        <v>46051</v>
      </c>
      <c r="C66" s="66">
        <v>1</v>
      </c>
      <c r="D66" s="66">
        <v>0</v>
      </c>
      <c r="E66" s="64" t="s">
        <v>244</v>
      </c>
      <c r="F66" s="64" t="s">
        <v>98</v>
      </c>
      <c r="G66" s="64" t="s">
        <v>55</v>
      </c>
      <c r="H66" s="64" t="s">
        <v>33</v>
      </c>
      <c r="I66" s="64" t="s">
        <v>20</v>
      </c>
      <c r="J66" s="64" t="s">
        <v>103</v>
      </c>
      <c r="K66" s="64" t="s">
        <v>21</v>
      </c>
      <c r="R66" s="4"/>
      <c r="S66" s="4"/>
    </row>
    <row r="67" spans="1:29" s="2" customFormat="1" x14ac:dyDescent="0.3">
      <c r="A67" s="64" t="s">
        <v>254</v>
      </c>
      <c r="B67" s="65">
        <v>46051</v>
      </c>
      <c r="C67" s="66">
        <v>1</v>
      </c>
      <c r="D67" s="66">
        <v>0</v>
      </c>
      <c r="E67" s="64" t="s">
        <v>101</v>
      </c>
      <c r="F67" s="64" t="s">
        <v>98</v>
      </c>
      <c r="G67" s="64" t="s">
        <v>55</v>
      </c>
      <c r="H67" s="64" t="s">
        <v>33</v>
      </c>
      <c r="I67" s="64" t="s">
        <v>20</v>
      </c>
      <c r="J67" s="64" t="s">
        <v>103</v>
      </c>
      <c r="K67" s="64" t="s">
        <v>21</v>
      </c>
      <c r="L67" s="4"/>
      <c r="M67" s="4"/>
      <c r="N67" s="4"/>
      <c r="O67" s="4"/>
      <c r="P67" s="4"/>
      <c r="Q67" s="4"/>
      <c r="R67" s="4"/>
    </row>
    <row r="68" spans="1:29" s="2" customFormat="1" x14ac:dyDescent="0.3">
      <c r="A68" s="64" t="s">
        <v>264</v>
      </c>
      <c r="B68" s="65">
        <v>46055</v>
      </c>
      <c r="C68" s="66">
        <v>1</v>
      </c>
      <c r="D68" s="66">
        <v>0</v>
      </c>
      <c r="E68" s="64" t="s">
        <v>29</v>
      </c>
      <c r="F68" s="64" t="s">
        <v>98</v>
      </c>
      <c r="G68" s="64" t="s">
        <v>55</v>
      </c>
      <c r="H68" s="64" t="s">
        <v>33</v>
      </c>
      <c r="I68" s="64" t="s">
        <v>20</v>
      </c>
      <c r="J68" s="64" t="s">
        <v>65</v>
      </c>
      <c r="K68" s="64" t="s">
        <v>48</v>
      </c>
      <c r="L68" s="4"/>
      <c r="M68" s="4"/>
      <c r="N68" s="4"/>
      <c r="O68" s="4"/>
      <c r="P68" s="4"/>
      <c r="Q68" s="4"/>
      <c r="R68" s="4"/>
    </row>
    <row r="69" spans="1:29" s="2" customFormat="1" x14ac:dyDescent="0.3">
      <c r="A69" s="64" t="s">
        <v>265</v>
      </c>
      <c r="B69" s="65">
        <v>46055</v>
      </c>
      <c r="C69" s="66">
        <v>1</v>
      </c>
      <c r="D69" s="66">
        <v>0</v>
      </c>
      <c r="E69" s="64" t="s">
        <v>29</v>
      </c>
      <c r="F69" s="64" t="s">
        <v>98</v>
      </c>
      <c r="G69" s="64" t="s">
        <v>55</v>
      </c>
      <c r="H69" s="64" t="s">
        <v>33</v>
      </c>
      <c r="I69" s="64" t="s">
        <v>20</v>
      </c>
      <c r="J69" s="64" t="s">
        <v>65</v>
      </c>
      <c r="K69" s="64" t="s">
        <v>48</v>
      </c>
      <c r="L69" s="4"/>
      <c r="M69" s="4"/>
      <c r="N69" s="4"/>
      <c r="O69" s="4"/>
      <c r="P69" s="4"/>
      <c r="Q69" s="4"/>
      <c r="R69" s="4"/>
    </row>
    <row r="70" spans="1:29" s="2" customFormat="1" x14ac:dyDescent="0.3">
      <c r="A70" s="64" t="s">
        <v>267</v>
      </c>
      <c r="B70" s="65">
        <v>46059</v>
      </c>
      <c r="C70" s="66">
        <v>1</v>
      </c>
      <c r="D70" s="66">
        <v>0</v>
      </c>
      <c r="E70" s="64" t="s">
        <v>268</v>
      </c>
      <c r="F70" s="64" t="s">
        <v>98</v>
      </c>
      <c r="G70" s="64" t="s">
        <v>55</v>
      </c>
      <c r="H70" s="64" t="s">
        <v>33</v>
      </c>
      <c r="I70" s="64" t="s">
        <v>20</v>
      </c>
      <c r="J70" s="64" t="s">
        <v>269</v>
      </c>
      <c r="K70" s="64" t="s">
        <v>22</v>
      </c>
      <c r="L70" s="4"/>
      <c r="M70" s="4"/>
      <c r="N70" s="4"/>
      <c r="O70" s="4"/>
      <c r="P70" s="4"/>
      <c r="Q70" s="4"/>
      <c r="R70" s="4"/>
    </row>
    <row r="71" spans="1:29" s="2" customFormat="1" hidden="1" x14ac:dyDescent="0.3">
      <c r="A71" s="63"/>
      <c r="B71" s="4"/>
      <c r="C71" s="4"/>
      <c r="D71" s="4"/>
      <c r="E71" s="4"/>
      <c r="F71" s="4"/>
      <c r="G71" s="3"/>
      <c r="H71" s="3"/>
      <c r="I71" s="4"/>
      <c r="J71" s="4"/>
      <c r="K71" s="4"/>
      <c r="L71" s="4"/>
      <c r="M71" s="4"/>
      <c r="N71" s="4"/>
      <c r="O71" s="4"/>
      <c r="P71" s="4"/>
      <c r="Q71" s="4"/>
      <c r="R71" s="4"/>
    </row>
    <row r="72" spans="1:29" s="2" customFormat="1" hidden="1" x14ac:dyDescent="0.3">
      <c r="A72" s="4"/>
      <c r="B72" s="4"/>
      <c r="C72" s="4"/>
      <c r="D72" s="4"/>
      <c r="E72" s="4"/>
      <c r="F72" s="4"/>
      <c r="G72" s="3"/>
      <c r="H72" s="3"/>
      <c r="I72" s="4"/>
      <c r="J72" s="4"/>
      <c r="K72" s="4"/>
      <c r="L72" s="4"/>
      <c r="M72" s="4"/>
      <c r="N72" s="4"/>
      <c r="O72" s="4"/>
      <c r="P72" s="4"/>
      <c r="Q72" s="4"/>
      <c r="R72" s="4"/>
    </row>
    <row r="73" spans="1:29" s="2" customFormat="1" hidden="1" x14ac:dyDescent="0.3">
      <c r="A73" s="4"/>
      <c r="B73" s="4"/>
      <c r="C73" s="4"/>
      <c r="D73" s="4"/>
      <c r="E73" s="4"/>
      <c r="F73" s="4"/>
      <c r="G73" s="3"/>
      <c r="H73" s="3"/>
      <c r="I73" s="4"/>
      <c r="J73" s="4"/>
      <c r="K73" s="4"/>
      <c r="L73" s="4"/>
      <c r="M73" s="4"/>
      <c r="N73" s="4"/>
      <c r="O73" s="4"/>
      <c r="P73" s="4"/>
      <c r="Q73" s="4"/>
      <c r="R73" s="4"/>
    </row>
    <row r="74" spans="1:29" s="2" customFormat="1" hidden="1" x14ac:dyDescent="0.3">
      <c r="A74" s="19"/>
      <c r="B74" s="20"/>
      <c r="C74" s="21"/>
      <c r="D74" s="21"/>
      <c r="E74" s="19"/>
      <c r="F74" s="19"/>
      <c r="G74" s="19"/>
      <c r="H74" s="19"/>
      <c r="I74" s="19"/>
      <c r="J74" s="19"/>
      <c r="K74" s="19"/>
      <c r="L74" s="4"/>
      <c r="M74" s="4"/>
      <c r="N74" s="4"/>
      <c r="O74" s="4"/>
      <c r="P74" s="4"/>
      <c r="Q74" s="4"/>
      <c r="R74" s="3"/>
      <c r="S74" s="3"/>
      <c r="T74" s="4"/>
      <c r="U74" s="4"/>
      <c r="V74" s="4"/>
      <c r="W74" s="4"/>
      <c r="X74" s="4"/>
      <c r="Y74" s="4"/>
      <c r="Z74" s="4"/>
      <c r="AA74" s="4"/>
      <c r="AB74" s="4"/>
      <c r="AC74" s="4"/>
    </row>
    <row r="75" spans="1:29" s="2" customFormat="1" hidden="1" x14ac:dyDescent="0.3">
      <c r="A75" s="19"/>
      <c r="B75" s="20"/>
      <c r="C75" s="21"/>
      <c r="D75" s="21"/>
      <c r="E75" s="19"/>
      <c r="F75" s="19"/>
      <c r="G75" s="19"/>
      <c r="H75" s="19"/>
      <c r="I75" s="19"/>
      <c r="J75" s="19"/>
      <c r="K75" s="19"/>
      <c r="L75" s="4"/>
      <c r="M75" s="4"/>
      <c r="N75" s="4"/>
      <c r="O75" s="4"/>
      <c r="P75" s="4"/>
      <c r="Q75" s="4"/>
      <c r="R75" s="3"/>
      <c r="S75" s="3"/>
      <c r="T75" s="4"/>
      <c r="U75" s="4"/>
      <c r="V75" s="4"/>
      <c r="W75" s="4"/>
      <c r="X75" s="4"/>
      <c r="Y75" s="4"/>
      <c r="Z75" s="4"/>
      <c r="AA75" s="4"/>
      <c r="AB75" s="4"/>
      <c r="AC75" s="4"/>
    </row>
    <row r="76" spans="1:29" s="2" customFormat="1" x14ac:dyDescent="0.3">
      <c r="A76" s="51"/>
      <c r="B76" s="52"/>
      <c r="C76" s="53"/>
      <c r="D76" s="53"/>
      <c r="E76" s="51"/>
      <c r="F76" s="51"/>
      <c r="G76" s="51"/>
      <c r="H76" s="51"/>
      <c r="I76" s="51"/>
      <c r="J76" s="51"/>
      <c r="K76" s="51"/>
      <c r="L76" s="4"/>
      <c r="M76" s="4"/>
      <c r="N76" s="4"/>
      <c r="O76" s="4"/>
      <c r="P76" s="4"/>
      <c r="Q76" s="4"/>
      <c r="R76" s="3"/>
      <c r="S76" s="3"/>
      <c r="T76" s="4"/>
      <c r="U76" s="4"/>
      <c r="V76" s="4"/>
      <c r="W76" s="4"/>
      <c r="X76" s="4"/>
      <c r="Y76" s="4"/>
      <c r="Z76" s="4"/>
      <c r="AA76" s="4"/>
      <c r="AB76" s="4"/>
      <c r="AC76" s="4"/>
    </row>
    <row r="77" spans="1:29" s="2" customFormat="1" ht="15" thickBot="1" x14ac:dyDescent="0.35">
      <c r="A77" s="51"/>
      <c r="B77" s="52"/>
      <c r="C77" s="53"/>
      <c r="D77" s="53"/>
      <c r="E77" s="51"/>
      <c r="F77" s="51"/>
      <c r="G77" s="51"/>
      <c r="H77" s="51"/>
      <c r="I77" s="51"/>
      <c r="J77" s="51"/>
      <c r="K77" s="51"/>
      <c r="L77" s="4"/>
      <c r="M77" s="4"/>
      <c r="N77" s="4"/>
      <c r="O77" s="4"/>
      <c r="P77" s="4"/>
      <c r="Q77" s="4"/>
      <c r="R77" s="3"/>
      <c r="S77" s="3"/>
      <c r="T77" s="4"/>
      <c r="U77" s="4"/>
      <c r="V77" s="4"/>
      <c r="W77" s="4"/>
      <c r="X77" s="4"/>
      <c r="Y77" s="4"/>
      <c r="Z77" s="4"/>
      <c r="AA77" s="4"/>
      <c r="AB77" s="4"/>
      <c r="AC77" s="4"/>
    </row>
    <row r="78" spans="1:29" ht="15" thickBot="1" x14ac:dyDescent="0.35">
      <c r="B78" s="38" t="s">
        <v>266</v>
      </c>
      <c r="C78" s="22">
        <v>13</v>
      </c>
    </row>
  </sheetData>
  <autoFilter ref="A3:J30" xr:uid="{6E392464-0CD5-4B6C-9B5A-A4EF4B03C567}"/>
  <conditionalFormatting sqref="F1:F33 F36:F1048576">
    <cfRule type="cellIs" dxfId="13" priority="1" operator="equal">
      <formula>"Non-Billable"</formula>
    </cfRule>
    <cfRule type="cellIs" dxfId="12" priority="2" operator="equal">
      <formula>"Billable"</formula>
    </cfRule>
  </conditionalFormatting>
  <conditionalFormatting sqref="F34">
    <cfRule type="cellIs" dxfId="11" priority="10" operator="equal">
      <formula>"Not Accepting Application"</formula>
    </cfRule>
    <cfRule type="cellIs" dxfId="10" priority="11" operator="equal">
      <formula>"Y"</formula>
    </cfRule>
  </conditionalFormatting>
  <conditionalFormatting sqref="H1:H2 H4:H33 F34 H35:H37 H39:H57 H74:H1048576">
    <cfRule type="cellIs" dxfId="9" priority="8" operator="equal">
      <formula>"Not accpeting applications"</formula>
    </cfRule>
  </conditionalFormatting>
  <conditionalFormatting sqref="H1:H2 H4:H33 H35:H37 H39:H57 V59:V73 AG74:AG78 H74:H1048576">
    <cfRule type="cellIs" dxfId="8" priority="6" operator="equal">
      <formula>"Not Accepting Applications"</formula>
    </cfRule>
  </conditionalFormatting>
  <conditionalFormatting sqref="H4:H33">
    <cfRule type="cellIs" dxfId="7" priority="9" operator="equal">
      <formula>"Accepting Applications"</formula>
    </cfRule>
  </conditionalFormatting>
  <conditionalFormatting sqref="H39:H41">
    <cfRule type="cellIs" dxfId="6" priority="7" operator="equal">
      <formula>"Not accepting applications"</formula>
    </cfRule>
  </conditionalFormatting>
  <conditionalFormatting sqref="H43:H53">
    <cfRule type="cellIs" dxfId="5" priority="12" operator="equal">
      <formula>"Not Accepting Application"</formula>
    </cfRule>
    <cfRule type="cellIs" dxfId="4" priority="13" operator="equal">
      <formula>"Accepting Applications"</formula>
    </cfRule>
    <cfRule type="cellIs" dxfId="3" priority="14" operator="equal">
      <formula>"Y"</formula>
    </cfRule>
  </conditionalFormatting>
  <conditionalFormatting sqref="I1:I33 F34:G34 I36:I1048576">
    <cfRule type="cellIs" dxfId="2" priority="4" operator="equal">
      <formula>"Accepting Applications"</formula>
    </cfRule>
    <cfRule type="cellIs" dxfId="1" priority="5" operator="equal">
      <formula>"Not Accepting Applications"</formula>
    </cfRule>
  </conditionalFormatting>
  <conditionalFormatting sqref="I1:I33 G34 I36:I1048576">
    <cfRule type="cellIs" dxfId="0" priority="3" operator="equal">
      <formula>"Pending"</formula>
    </cfRule>
  </conditionalFormatting>
  <pageMargins left="0.7" right="0.7" top="0.75" bottom="0.75" header="0.3" footer="0.3"/>
  <pageSetup orientation="landscape" horizontalDpi="4294967295" verticalDpi="4294967295"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0CA7F-9251-4CCD-8F6A-16FB0EF617C8}">
  <sheetPr>
    <tabColor theme="2" tint="-0.499984740745262"/>
  </sheetPr>
  <dimension ref="A1:AC71"/>
  <sheetViews>
    <sheetView showGridLines="0" zoomScale="80" zoomScaleNormal="80" workbookViewId="0">
      <selection activeCell="A60" sqref="A60:XFD60"/>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0.33333333333333331</v>
      </c>
      <c r="B1" s="37">
        <v>46058</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64" t="s">
        <v>59</v>
      </c>
      <c r="B4" s="65">
        <v>46043</v>
      </c>
      <c r="C4" s="66">
        <v>5</v>
      </c>
      <c r="D4" s="66">
        <v>4</v>
      </c>
      <c r="E4" s="64" t="s">
        <v>46</v>
      </c>
      <c r="F4" s="64" t="s">
        <v>200</v>
      </c>
      <c r="G4" s="64" t="s">
        <v>7</v>
      </c>
      <c r="H4" s="64" t="s">
        <v>18</v>
      </c>
      <c r="I4" s="64" t="s">
        <v>56</v>
      </c>
      <c r="J4" s="64" t="s">
        <v>49</v>
      </c>
      <c r="K4" s="64" t="s">
        <v>48</v>
      </c>
      <c r="AB4" s="2" t="s">
        <v>10</v>
      </c>
      <c r="AC4" s="2" t="s">
        <v>11</v>
      </c>
    </row>
    <row r="5" spans="1:29" s="2" customFormat="1" x14ac:dyDescent="0.3">
      <c r="A5" s="64" t="s">
        <v>81</v>
      </c>
      <c r="B5" s="65">
        <v>46034</v>
      </c>
      <c r="C5" s="66">
        <v>2</v>
      </c>
      <c r="D5" s="66">
        <v>0</v>
      </c>
      <c r="E5" s="64" t="s">
        <v>41</v>
      </c>
      <c r="F5" s="64" t="s">
        <v>98</v>
      </c>
      <c r="G5" s="64" t="s">
        <v>7</v>
      </c>
      <c r="H5" s="64" t="s">
        <v>18</v>
      </c>
      <c r="I5" s="64" t="s">
        <v>56</v>
      </c>
      <c r="J5" s="64" t="s">
        <v>82</v>
      </c>
      <c r="K5" s="64" t="s">
        <v>22</v>
      </c>
      <c r="AB5" s="2" t="s">
        <v>14</v>
      </c>
      <c r="AC5" s="2">
        <v>17</v>
      </c>
    </row>
    <row r="6" spans="1:29" s="2" customFormat="1" x14ac:dyDescent="0.3">
      <c r="A6" s="64" t="s">
        <v>89</v>
      </c>
      <c r="B6" s="65">
        <v>46057</v>
      </c>
      <c r="C6" s="66">
        <v>1</v>
      </c>
      <c r="D6" s="66">
        <v>0</v>
      </c>
      <c r="E6" s="64" t="s">
        <v>90</v>
      </c>
      <c r="F6" s="64" t="s">
        <v>98</v>
      </c>
      <c r="G6" s="64" t="s">
        <v>7</v>
      </c>
      <c r="H6" s="64" t="s">
        <v>18</v>
      </c>
      <c r="I6" s="64" t="s">
        <v>56</v>
      </c>
      <c r="J6" s="64" t="s">
        <v>26</v>
      </c>
      <c r="K6" s="64" t="s">
        <v>91</v>
      </c>
      <c r="N6" s="10"/>
      <c r="AB6" s="2" t="s">
        <v>15</v>
      </c>
      <c r="AC6" s="2">
        <v>3</v>
      </c>
    </row>
    <row r="7" spans="1:29" s="2" customFormat="1" x14ac:dyDescent="0.3">
      <c r="A7" s="64" t="s">
        <v>116</v>
      </c>
      <c r="B7" s="65">
        <v>46050</v>
      </c>
      <c r="C7" s="66">
        <v>1</v>
      </c>
      <c r="D7" s="66">
        <v>0</v>
      </c>
      <c r="E7" s="64" t="s">
        <v>54</v>
      </c>
      <c r="F7" s="64" t="s">
        <v>200</v>
      </c>
      <c r="G7" s="64" t="s">
        <v>7</v>
      </c>
      <c r="H7" s="64" t="s">
        <v>18</v>
      </c>
      <c r="I7" s="64" t="s">
        <v>56</v>
      </c>
      <c r="J7" s="64" t="s">
        <v>117</v>
      </c>
      <c r="K7" s="64" t="s">
        <v>118</v>
      </c>
      <c r="N7" s="10"/>
      <c r="V7" s="11"/>
      <c r="AB7" s="2" t="s">
        <v>16</v>
      </c>
      <c r="AC7" s="2">
        <v>4</v>
      </c>
    </row>
    <row r="8" spans="1:29" s="2" customFormat="1" x14ac:dyDescent="0.3">
      <c r="A8" s="64" t="s">
        <v>122</v>
      </c>
      <c r="B8" s="65">
        <v>46052</v>
      </c>
      <c r="C8" s="66">
        <v>2</v>
      </c>
      <c r="D8" s="66">
        <v>0</v>
      </c>
      <c r="E8" s="64" t="s">
        <v>236</v>
      </c>
      <c r="F8" s="64" t="s">
        <v>98</v>
      </c>
      <c r="G8" s="64" t="s">
        <v>7</v>
      </c>
      <c r="H8" s="64" t="s">
        <v>23</v>
      </c>
      <c r="I8" s="64" t="s">
        <v>9</v>
      </c>
      <c r="J8" s="64" t="s">
        <v>121</v>
      </c>
      <c r="K8" s="64" t="s">
        <v>13</v>
      </c>
      <c r="N8" s="10"/>
    </row>
    <row r="9" spans="1:29" s="2" customFormat="1" x14ac:dyDescent="0.3">
      <c r="A9" s="64" t="s">
        <v>128</v>
      </c>
      <c r="B9" s="65">
        <v>46035</v>
      </c>
      <c r="C9" s="66">
        <v>1</v>
      </c>
      <c r="D9" s="66">
        <v>0</v>
      </c>
      <c r="E9" s="64" t="s">
        <v>129</v>
      </c>
      <c r="F9" s="64" t="s">
        <v>200</v>
      </c>
      <c r="G9" s="64" t="s">
        <v>7</v>
      </c>
      <c r="H9" s="64" t="s">
        <v>64</v>
      </c>
      <c r="I9" s="64" t="s">
        <v>9</v>
      </c>
      <c r="J9" s="64" t="s">
        <v>65</v>
      </c>
      <c r="K9" s="64" t="s">
        <v>48</v>
      </c>
      <c r="N9" s="10"/>
    </row>
    <row r="10" spans="1:29" s="2" customFormat="1" x14ac:dyDescent="0.3">
      <c r="A10" s="64" t="s">
        <v>135</v>
      </c>
      <c r="B10" s="65">
        <v>46048</v>
      </c>
      <c r="C10" s="66">
        <v>1</v>
      </c>
      <c r="D10" s="66">
        <v>0</v>
      </c>
      <c r="E10" s="64" t="s">
        <v>136</v>
      </c>
      <c r="F10" s="64" t="s">
        <v>200</v>
      </c>
      <c r="G10" s="64" t="s">
        <v>7</v>
      </c>
      <c r="H10" s="64" t="s">
        <v>23</v>
      </c>
      <c r="I10" s="64" t="s">
        <v>9</v>
      </c>
      <c r="J10" s="64" t="s">
        <v>137</v>
      </c>
      <c r="K10" s="64" t="s">
        <v>13</v>
      </c>
      <c r="N10" s="10"/>
    </row>
    <row r="11" spans="1:29" s="2" customFormat="1" x14ac:dyDescent="0.3">
      <c r="A11" s="64" t="s">
        <v>138</v>
      </c>
      <c r="B11" s="65">
        <v>46006</v>
      </c>
      <c r="C11" s="66">
        <v>5</v>
      </c>
      <c r="D11" s="66">
        <v>0</v>
      </c>
      <c r="E11" s="64" t="s">
        <v>45</v>
      </c>
      <c r="F11" s="64" t="s">
        <v>200</v>
      </c>
      <c r="G11" s="64" t="s">
        <v>7</v>
      </c>
      <c r="H11" s="64" t="s">
        <v>139</v>
      </c>
      <c r="I11" s="64" t="s">
        <v>20</v>
      </c>
      <c r="J11" s="64" t="s">
        <v>140</v>
      </c>
      <c r="K11" s="64" t="s">
        <v>22</v>
      </c>
    </row>
    <row r="12" spans="1:29" s="2" customFormat="1" x14ac:dyDescent="0.3">
      <c r="A12" s="64" t="s">
        <v>141</v>
      </c>
      <c r="B12" s="65">
        <v>46048</v>
      </c>
      <c r="C12" s="66">
        <v>4</v>
      </c>
      <c r="D12" s="66">
        <v>0</v>
      </c>
      <c r="E12" s="64" t="s">
        <v>142</v>
      </c>
      <c r="F12" s="64" t="s">
        <v>200</v>
      </c>
      <c r="G12" s="64" t="s">
        <v>7</v>
      </c>
      <c r="H12" s="64" t="s">
        <v>139</v>
      </c>
      <c r="I12" s="64" t="s">
        <v>20</v>
      </c>
      <c r="J12" s="64" t="s">
        <v>140</v>
      </c>
      <c r="K12" s="64" t="s">
        <v>22</v>
      </c>
    </row>
    <row r="13" spans="1:29" s="2" customFormat="1" x14ac:dyDescent="0.3">
      <c r="A13" s="64" t="s">
        <v>143</v>
      </c>
      <c r="B13" s="65">
        <v>46014</v>
      </c>
      <c r="C13" s="66">
        <v>2</v>
      </c>
      <c r="D13" s="66">
        <v>1</v>
      </c>
      <c r="E13" s="64" t="s">
        <v>29</v>
      </c>
      <c r="F13" s="64" t="s">
        <v>200</v>
      </c>
      <c r="G13" s="64" t="s">
        <v>7</v>
      </c>
      <c r="H13" s="64" t="s">
        <v>18</v>
      </c>
      <c r="I13" s="64" t="s">
        <v>56</v>
      </c>
      <c r="J13" s="64" t="s">
        <v>140</v>
      </c>
      <c r="K13" s="64" t="s">
        <v>22</v>
      </c>
    </row>
    <row r="14" spans="1:29" s="2" customFormat="1" x14ac:dyDescent="0.3">
      <c r="A14" s="64" t="s">
        <v>152</v>
      </c>
      <c r="B14" s="65">
        <v>46006</v>
      </c>
      <c r="C14" s="66">
        <v>1</v>
      </c>
      <c r="D14" s="66">
        <v>0</v>
      </c>
      <c r="E14" s="64" t="s">
        <v>153</v>
      </c>
      <c r="F14" s="64" t="s">
        <v>200</v>
      </c>
      <c r="G14" s="64" t="s">
        <v>7</v>
      </c>
      <c r="H14" s="64" t="s">
        <v>33</v>
      </c>
      <c r="I14" s="64" t="s">
        <v>20</v>
      </c>
      <c r="J14" s="64" t="s">
        <v>77</v>
      </c>
      <c r="K14" s="64" t="s">
        <v>13</v>
      </c>
    </row>
    <row r="15" spans="1:29" s="2" customFormat="1" x14ac:dyDescent="0.3">
      <c r="A15" s="64" t="s">
        <v>162</v>
      </c>
      <c r="B15" s="65">
        <v>46019</v>
      </c>
      <c r="C15" s="66">
        <v>1</v>
      </c>
      <c r="D15" s="66">
        <v>0</v>
      </c>
      <c r="E15" s="64" t="s">
        <v>190</v>
      </c>
      <c r="F15" s="64" t="s">
        <v>200</v>
      </c>
      <c r="G15" s="64" t="s">
        <v>7</v>
      </c>
      <c r="H15" s="64" t="s">
        <v>33</v>
      </c>
      <c r="I15" s="64" t="s">
        <v>20</v>
      </c>
      <c r="J15" s="64" t="s">
        <v>95</v>
      </c>
      <c r="K15" s="64" t="s">
        <v>13</v>
      </c>
    </row>
    <row r="16" spans="1:29" s="2" customFormat="1" x14ac:dyDescent="0.3">
      <c r="A16" s="64" t="s">
        <v>188</v>
      </c>
      <c r="B16" s="65">
        <v>46036</v>
      </c>
      <c r="C16" s="66">
        <v>1</v>
      </c>
      <c r="D16" s="66">
        <v>0</v>
      </c>
      <c r="E16" s="64" t="s">
        <v>41</v>
      </c>
      <c r="F16" s="64" t="s">
        <v>98</v>
      </c>
      <c r="G16" s="64" t="s">
        <v>7</v>
      </c>
      <c r="H16" s="64" t="s">
        <v>18</v>
      </c>
      <c r="I16" s="64" t="s">
        <v>56</v>
      </c>
      <c r="J16" s="64" t="s">
        <v>82</v>
      </c>
      <c r="K16" s="64" t="s">
        <v>22</v>
      </c>
    </row>
    <row r="17" spans="1:11" s="2" customFormat="1" x14ac:dyDescent="0.3">
      <c r="A17" s="64" t="s">
        <v>197</v>
      </c>
      <c r="B17" s="65">
        <v>46055</v>
      </c>
      <c r="C17" s="66">
        <v>1</v>
      </c>
      <c r="D17" s="66">
        <v>0</v>
      </c>
      <c r="E17" s="64" t="s">
        <v>93</v>
      </c>
      <c r="F17" s="64" t="s">
        <v>98</v>
      </c>
      <c r="G17" s="64" t="s">
        <v>7</v>
      </c>
      <c r="H17" s="64" t="s">
        <v>18</v>
      </c>
      <c r="I17" s="64" t="s">
        <v>56</v>
      </c>
      <c r="J17" s="64" t="s">
        <v>140</v>
      </c>
      <c r="K17" s="64" t="s">
        <v>22</v>
      </c>
    </row>
    <row r="18" spans="1:11" s="2" customFormat="1" x14ac:dyDescent="0.3">
      <c r="A18" s="64" t="s">
        <v>198</v>
      </c>
      <c r="B18" s="65">
        <v>46045</v>
      </c>
      <c r="C18" s="66">
        <v>1</v>
      </c>
      <c r="D18" s="66">
        <v>0</v>
      </c>
      <c r="E18" s="64" t="s">
        <v>199</v>
      </c>
      <c r="F18" s="64" t="s">
        <v>200</v>
      </c>
      <c r="G18" s="64" t="s">
        <v>7</v>
      </c>
      <c r="H18" s="64" t="s">
        <v>33</v>
      </c>
      <c r="I18" s="64" t="s">
        <v>20</v>
      </c>
      <c r="J18" s="64" t="s">
        <v>12</v>
      </c>
      <c r="K18" s="64" t="s">
        <v>24</v>
      </c>
    </row>
    <row r="19" spans="1:11" s="2" customFormat="1" x14ac:dyDescent="0.3">
      <c r="A19" s="64" t="s">
        <v>213</v>
      </c>
      <c r="B19" s="65">
        <v>46043</v>
      </c>
      <c r="C19" s="66">
        <v>2</v>
      </c>
      <c r="D19" s="66">
        <v>0</v>
      </c>
      <c r="E19" s="64" t="s">
        <v>214</v>
      </c>
      <c r="F19" s="64" t="s">
        <v>200</v>
      </c>
      <c r="G19" s="64" t="s">
        <v>7</v>
      </c>
      <c r="H19" s="64" t="s">
        <v>220</v>
      </c>
      <c r="I19" s="64" t="s">
        <v>20</v>
      </c>
      <c r="J19" s="64" t="s">
        <v>215</v>
      </c>
      <c r="K19" s="64" t="s">
        <v>216</v>
      </c>
    </row>
    <row r="20" spans="1:11" s="2" customFormat="1" x14ac:dyDescent="0.3">
      <c r="A20" s="64" t="s">
        <v>217</v>
      </c>
      <c r="B20" s="65">
        <v>46051</v>
      </c>
      <c r="C20" s="66">
        <v>1</v>
      </c>
      <c r="D20" s="66">
        <v>0</v>
      </c>
      <c r="E20" s="64" t="s">
        <v>218</v>
      </c>
      <c r="F20" s="64" t="s">
        <v>200</v>
      </c>
      <c r="G20" s="64" t="s">
        <v>7</v>
      </c>
      <c r="H20" s="64" t="s">
        <v>148</v>
      </c>
      <c r="I20" s="64" t="s">
        <v>9</v>
      </c>
      <c r="J20" s="64" t="s">
        <v>121</v>
      </c>
      <c r="K20" s="64" t="s">
        <v>13</v>
      </c>
    </row>
    <row r="21" spans="1:11" s="2" customFormat="1" ht="15" customHeight="1" x14ac:dyDescent="0.3">
      <c r="A21" s="64" t="s">
        <v>221</v>
      </c>
      <c r="B21" s="65">
        <v>46050</v>
      </c>
      <c r="C21" s="66">
        <v>2</v>
      </c>
      <c r="D21" s="66">
        <v>0</v>
      </c>
      <c r="E21" s="64" t="s">
        <v>201</v>
      </c>
      <c r="F21" s="64" t="s">
        <v>200</v>
      </c>
      <c r="G21" s="64" t="s">
        <v>7</v>
      </c>
      <c r="H21" s="64" t="s">
        <v>47</v>
      </c>
      <c r="I21" s="64" t="s">
        <v>9</v>
      </c>
      <c r="J21" s="64" t="s">
        <v>105</v>
      </c>
      <c r="K21" s="64" t="s">
        <v>43</v>
      </c>
    </row>
    <row r="22" spans="1:11" s="2" customFormat="1" ht="13.95" customHeight="1" x14ac:dyDescent="0.3">
      <c r="A22" s="64" t="s">
        <v>228</v>
      </c>
      <c r="B22" s="65">
        <v>46045</v>
      </c>
      <c r="C22" s="66">
        <v>1</v>
      </c>
      <c r="D22" s="66">
        <v>0</v>
      </c>
      <c r="E22" s="64" t="s">
        <v>30</v>
      </c>
      <c r="F22" s="64" t="s">
        <v>200</v>
      </c>
      <c r="G22" s="64" t="s">
        <v>7</v>
      </c>
      <c r="H22" s="64" t="s">
        <v>8</v>
      </c>
      <c r="I22" s="64" t="s">
        <v>9</v>
      </c>
      <c r="J22" s="64" t="s">
        <v>12</v>
      </c>
      <c r="K22" s="64" t="s">
        <v>24</v>
      </c>
    </row>
    <row r="23" spans="1:11" s="2" customFormat="1" x14ac:dyDescent="0.3">
      <c r="A23" s="64" t="s">
        <v>229</v>
      </c>
      <c r="B23" s="65">
        <v>46049</v>
      </c>
      <c r="C23" s="66">
        <v>3</v>
      </c>
      <c r="D23" s="66">
        <v>0</v>
      </c>
      <c r="E23" s="64" t="s">
        <v>45</v>
      </c>
      <c r="F23" s="64" t="s">
        <v>98</v>
      </c>
      <c r="G23" s="64" t="s">
        <v>7</v>
      </c>
      <c r="H23" s="64" t="s">
        <v>33</v>
      </c>
      <c r="I23" s="64" t="s">
        <v>20</v>
      </c>
      <c r="J23" s="64" t="s">
        <v>121</v>
      </c>
      <c r="K23" s="64" t="s">
        <v>13</v>
      </c>
    </row>
    <row r="24" spans="1:11" s="2" customFormat="1" x14ac:dyDescent="0.3">
      <c r="A24" s="64" t="s">
        <v>233</v>
      </c>
      <c r="B24" s="65">
        <v>46050</v>
      </c>
      <c r="C24" s="66">
        <v>3</v>
      </c>
      <c r="D24" s="66">
        <v>0</v>
      </c>
      <c r="E24" s="64" t="s">
        <v>63</v>
      </c>
      <c r="F24" s="64" t="s">
        <v>200</v>
      </c>
      <c r="G24" s="64" t="s">
        <v>7</v>
      </c>
      <c r="H24" s="64" t="s">
        <v>33</v>
      </c>
      <c r="I24" s="64" t="s">
        <v>20</v>
      </c>
      <c r="J24" s="64" t="s">
        <v>65</v>
      </c>
      <c r="K24" s="64" t="s">
        <v>48</v>
      </c>
    </row>
    <row r="25" spans="1:11" s="2" customFormat="1" x14ac:dyDescent="0.3">
      <c r="A25" s="64" t="s">
        <v>234</v>
      </c>
      <c r="B25" s="65">
        <v>46056</v>
      </c>
      <c r="C25" s="66">
        <v>30</v>
      </c>
      <c r="D25" s="66">
        <v>0</v>
      </c>
      <c r="E25" s="64" t="s">
        <v>45</v>
      </c>
      <c r="F25" s="64" t="s">
        <v>200</v>
      </c>
      <c r="G25" s="64" t="s">
        <v>7</v>
      </c>
      <c r="H25" s="64" t="s">
        <v>259</v>
      </c>
      <c r="I25" s="64" t="s">
        <v>20</v>
      </c>
      <c r="J25" s="64" t="s">
        <v>49</v>
      </c>
      <c r="K25" s="64" t="s">
        <v>91</v>
      </c>
    </row>
    <row r="26" spans="1:11" s="2" customFormat="1" ht="15" customHeight="1" x14ac:dyDescent="0.3">
      <c r="A26" s="64" t="s">
        <v>246</v>
      </c>
      <c r="B26" s="65">
        <v>46055</v>
      </c>
      <c r="C26" s="66">
        <v>1</v>
      </c>
      <c r="D26" s="66">
        <v>0</v>
      </c>
      <c r="E26" s="64" t="s">
        <v>232</v>
      </c>
      <c r="F26" s="64" t="s">
        <v>200</v>
      </c>
      <c r="G26" s="64" t="s">
        <v>7</v>
      </c>
      <c r="H26" s="64" t="s">
        <v>33</v>
      </c>
      <c r="I26" s="64" t="s">
        <v>20</v>
      </c>
      <c r="J26" s="64" t="s">
        <v>65</v>
      </c>
      <c r="K26" s="64" t="s">
        <v>48</v>
      </c>
    </row>
    <row r="27" spans="1:11" s="2" customFormat="1" x14ac:dyDescent="0.3">
      <c r="A27" s="64" t="s">
        <v>247</v>
      </c>
      <c r="B27" s="65">
        <v>46056</v>
      </c>
      <c r="C27" s="66">
        <v>1</v>
      </c>
      <c r="D27" s="66">
        <v>0</v>
      </c>
      <c r="E27" s="64" t="s">
        <v>120</v>
      </c>
      <c r="F27" s="64" t="s">
        <v>200</v>
      </c>
      <c r="G27" s="64" t="s">
        <v>7</v>
      </c>
      <c r="H27" s="64" t="s">
        <v>260</v>
      </c>
      <c r="I27" s="64" t="s">
        <v>9</v>
      </c>
      <c r="J27" s="64" t="s">
        <v>248</v>
      </c>
      <c r="K27" s="64" t="s">
        <v>43</v>
      </c>
    </row>
    <row r="28" spans="1:11" s="2" customFormat="1" x14ac:dyDescent="0.3">
      <c r="A28" s="64" t="s">
        <v>249</v>
      </c>
      <c r="B28" s="65">
        <v>46055</v>
      </c>
      <c r="C28" s="66">
        <v>2</v>
      </c>
      <c r="D28" s="66">
        <v>0</v>
      </c>
      <c r="E28" s="64" t="s">
        <v>45</v>
      </c>
      <c r="F28" s="64" t="s">
        <v>98</v>
      </c>
      <c r="G28" s="64" t="s">
        <v>7</v>
      </c>
      <c r="H28" s="64" t="s">
        <v>139</v>
      </c>
      <c r="I28" s="64" t="s">
        <v>20</v>
      </c>
      <c r="J28" s="64" t="s">
        <v>33</v>
      </c>
      <c r="K28" s="64" t="s">
        <v>250</v>
      </c>
    </row>
    <row r="29" spans="1:11" s="2" customFormat="1" x14ac:dyDescent="0.3">
      <c r="A29" s="64" t="s">
        <v>255</v>
      </c>
      <c r="B29" s="65">
        <v>46056</v>
      </c>
      <c r="C29" s="66">
        <v>1</v>
      </c>
      <c r="D29" s="66">
        <v>0</v>
      </c>
      <c r="E29" s="64" t="s">
        <v>256</v>
      </c>
      <c r="F29" s="64" t="s">
        <v>98</v>
      </c>
      <c r="G29" s="64" t="s">
        <v>7</v>
      </c>
      <c r="H29" s="64" t="s">
        <v>18</v>
      </c>
      <c r="I29" s="64" t="s">
        <v>56</v>
      </c>
      <c r="J29" s="64" t="s">
        <v>134</v>
      </c>
      <c r="K29" s="64" t="s">
        <v>13</v>
      </c>
    </row>
    <row r="30" spans="1:11" s="2" customFormat="1" x14ac:dyDescent="0.3">
      <c r="A30" s="64" t="s">
        <v>257</v>
      </c>
      <c r="B30" s="65">
        <v>46057</v>
      </c>
      <c r="C30" s="66">
        <v>1</v>
      </c>
      <c r="D30" s="66">
        <v>0</v>
      </c>
      <c r="E30" s="64" t="s">
        <v>258</v>
      </c>
      <c r="F30" s="64" t="s">
        <v>98</v>
      </c>
      <c r="G30" s="64" t="s">
        <v>7</v>
      </c>
      <c r="H30" s="64" t="s">
        <v>18</v>
      </c>
      <c r="I30" s="64" t="s">
        <v>56</v>
      </c>
      <c r="J30" s="64" t="s">
        <v>134</v>
      </c>
      <c r="K30" s="64" t="s">
        <v>13</v>
      </c>
    </row>
    <row r="31" spans="1:11" s="2" customFormat="1" x14ac:dyDescent="0.3">
      <c r="A31" s="64" t="s">
        <v>261</v>
      </c>
      <c r="B31" s="65">
        <v>46056</v>
      </c>
      <c r="C31" s="66">
        <v>1</v>
      </c>
      <c r="D31" s="66">
        <v>0</v>
      </c>
      <c r="E31" s="64" t="s">
        <v>262</v>
      </c>
      <c r="F31" s="64" t="s">
        <v>98</v>
      </c>
      <c r="G31" s="64" t="s">
        <v>7</v>
      </c>
      <c r="H31" s="64" t="s">
        <v>183</v>
      </c>
      <c r="I31" s="64" t="s">
        <v>20</v>
      </c>
      <c r="J31" s="64" t="s">
        <v>191</v>
      </c>
      <c r="K31" s="64" t="s">
        <v>13</v>
      </c>
    </row>
    <row r="32" spans="1:11" s="2" customFormat="1" ht="13.95" hidden="1" customHeight="1" x14ac:dyDescent="0.3">
      <c r="A32" s="43"/>
      <c r="B32" s="44"/>
      <c r="C32" s="45"/>
      <c r="D32" s="45"/>
      <c r="E32" s="43"/>
      <c r="F32" s="43"/>
      <c r="G32" s="43"/>
      <c r="H32" s="43"/>
      <c r="I32" s="43"/>
      <c r="J32" s="43"/>
      <c r="K32" s="43"/>
    </row>
    <row r="33" spans="1:19" s="2" customFormat="1" ht="14.25" hidden="1" customHeight="1" x14ac:dyDescent="0.3">
      <c r="A33" s="43"/>
      <c r="B33" s="44"/>
      <c r="C33" s="45"/>
      <c r="D33" s="45"/>
      <c r="E33" s="43"/>
      <c r="F33" s="43"/>
      <c r="G33" s="43"/>
      <c r="H33" s="43"/>
      <c r="I33" s="43"/>
      <c r="J33" s="43"/>
      <c r="K33" s="43"/>
    </row>
    <row r="34" spans="1:19" s="2" customFormat="1" ht="14.25" hidden="1" customHeight="1" x14ac:dyDescent="0.3">
      <c r="A34" s="43"/>
      <c r="B34" s="44"/>
      <c r="C34" s="45"/>
      <c r="D34" s="45"/>
      <c r="E34" s="43"/>
      <c r="F34" s="43"/>
      <c r="G34" s="43"/>
      <c r="H34" s="43"/>
      <c r="I34" s="43"/>
      <c r="J34" s="43"/>
      <c r="K34" s="43"/>
    </row>
    <row r="35" spans="1:19" ht="15" thickBot="1" x14ac:dyDescent="0.35">
      <c r="A35" s="40"/>
      <c r="B35" s="41"/>
      <c r="C35" s="42"/>
      <c r="D35" s="42"/>
      <c r="E35" s="40"/>
      <c r="F35" s="40"/>
      <c r="G35" s="40"/>
      <c r="H35" s="40"/>
      <c r="I35" s="40"/>
      <c r="J35" s="40"/>
      <c r="K35" s="40"/>
      <c r="P35" s="3"/>
      <c r="Q35" s="3"/>
      <c r="R35" s="4"/>
      <c r="S35" s="4"/>
    </row>
    <row r="36" spans="1:19" ht="15" thickBot="1" x14ac:dyDescent="0.35">
      <c r="B36" s="34" t="s">
        <v>31</v>
      </c>
      <c r="C36" s="12">
        <f>SUM(C4:C31)-SUM(D4:D31)</f>
        <v>73</v>
      </c>
      <c r="D36" s="29"/>
      <c r="F36" s="35" t="s">
        <v>57</v>
      </c>
      <c r="G36" s="36">
        <f>COUNTIF(I4:I31,"Pending")</f>
        <v>9</v>
      </c>
      <c r="I36" s="38" t="s">
        <v>58</v>
      </c>
      <c r="J36" s="39">
        <f>C36-G36</f>
        <v>64</v>
      </c>
    </row>
    <row r="37" spans="1:19" x14ac:dyDescent="0.3">
      <c r="G37" s="3"/>
      <c r="H37" s="4"/>
      <c r="I37" s="3"/>
    </row>
    <row r="38" spans="1:19" hidden="1" x14ac:dyDescent="0.3">
      <c r="D38" s="13"/>
    </row>
    <row r="39" spans="1:19" s="6" customFormat="1" ht="28.8" x14ac:dyDescent="0.3">
      <c r="A39" s="28" t="s">
        <v>0</v>
      </c>
      <c r="B39" s="28" t="s">
        <v>1</v>
      </c>
      <c r="C39" s="28" t="s">
        <v>2</v>
      </c>
      <c r="D39" s="28" t="s">
        <v>3</v>
      </c>
      <c r="E39" s="28" t="s">
        <v>4</v>
      </c>
      <c r="F39" s="28" t="s">
        <v>51</v>
      </c>
      <c r="G39" s="28" t="s">
        <v>52</v>
      </c>
      <c r="H39" s="28" t="s">
        <v>5</v>
      </c>
      <c r="I39" s="28" t="s">
        <v>53</v>
      </c>
      <c r="J39" s="28" t="s">
        <v>27</v>
      </c>
      <c r="K39" s="28" t="s">
        <v>6</v>
      </c>
    </row>
    <row r="40" spans="1:19" s="14" customFormat="1" x14ac:dyDescent="0.3">
      <c r="A40" s="64" t="s">
        <v>154</v>
      </c>
      <c r="B40" s="65">
        <v>46056</v>
      </c>
      <c r="C40" s="66">
        <v>1</v>
      </c>
      <c r="D40" s="66">
        <v>0</v>
      </c>
      <c r="E40" s="64" t="s">
        <v>155</v>
      </c>
      <c r="F40" s="64" t="s">
        <v>98</v>
      </c>
      <c r="G40" s="64" t="s">
        <v>32</v>
      </c>
      <c r="H40" s="64" t="s">
        <v>47</v>
      </c>
      <c r="I40" s="64" t="s">
        <v>20</v>
      </c>
      <c r="J40" s="64" t="s">
        <v>156</v>
      </c>
      <c r="K40" s="64" t="s">
        <v>13</v>
      </c>
    </row>
    <row r="41" spans="1:19" s="14" customFormat="1" x14ac:dyDescent="0.3">
      <c r="A41" s="64" t="s">
        <v>157</v>
      </c>
      <c r="B41" s="65">
        <v>46056</v>
      </c>
      <c r="C41" s="66">
        <v>1</v>
      </c>
      <c r="D41" s="66">
        <v>0</v>
      </c>
      <c r="E41" s="64" t="s">
        <v>158</v>
      </c>
      <c r="F41" s="64" t="s">
        <v>98</v>
      </c>
      <c r="G41" s="64" t="s">
        <v>32</v>
      </c>
      <c r="H41" s="64" t="s">
        <v>17</v>
      </c>
      <c r="I41" s="64" t="s">
        <v>20</v>
      </c>
      <c r="J41" s="64" t="s">
        <v>159</v>
      </c>
      <c r="K41" s="64" t="s">
        <v>28</v>
      </c>
    </row>
    <row r="42" spans="1:19" s="14" customFormat="1" ht="15" customHeight="1" x14ac:dyDescent="0.3">
      <c r="A42" s="64" t="s">
        <v>172</v>
      </c>
      <c r="B42" s="65">
        <v>46056</v>
      </c>
      <c r="C42" s="66">
        <v>1</v>
      </c>
      <c r="D42" s="66">
        <v>0</v>
      </c>
      <c r="E42" s="64" t="s">
        <v>173</v>
      </c>
      <c r="F42" s="64" t="s">
        <v>98</v>
      </c>
      <c r="G42" s="64" t="s">
        <v>32</v>
      </c>
      <c r="H42" s="64" t="s">
        <v>33</v>
      </c>
      <c r="I42" s="64" t="s">
        <v>20</v>
      </c>
      <c r="J42" s="64" t="s">
        <v>175</v>
      </c>
      <c r="K42" s="64" t="s">
        <v>176</v>
      </c>
    </row>
    <row r="43" spans="1:19" s="14" customFormat="1" ht="15" customHeight="1" x14ac:dyDescent="0.3">
      <c r="A43" s="64" t="s">
        <v>202</v>
      </c>
      <c r="B43" s="65">
        <v>46056</v>
      </c>
      <c r="C43" s="66">
        <v>1</v>
      </c>
      <c r="D43" s="66">
        <v>0</v>
      </c>
      <c r="E43" s="64" t="s">
        <v>54</v>
      </c>
      <c r="F43" s="64" t="s">
        <v>98</v>
      </c>
      <c r="G43" s="64" t="s">
        <v>32</v>
      </c>
      <c r="H43" s="64" t="s">
        <v>17</v>
      </c>
      <c r="I43" s="64" t="s">
        <v>20</v>
      </c>
      <c r="J43" s="64" t="s">
        <v>203</v>
      </c>
      <c r="K43" s="64" t="s">
        <v>19</v>
      </c>
    </row>
    <row r="44" spans="1:19" s="18" customFormat="1" ht="15" customHeight="1" x14ac:dyDescent="0.3">
      <c r="A44" s="64" t="s">
        <v>204</v>
      </c>
      <c r="B44" s="65">
        <v>46056</v>
      </c>
      <c r="C44" s="66">
        <v>1</v>
      </c>
      <c r="D44" s="66">
        <v>0</v>
      </c>
      <c r="E44" s="64" t="s">
        <v>205</v>
      </c>
      <c r="F44" s="64" t="s">
        <v>98</v>
      </c>
      <c r="G44" s="64" t="s">
        <v>32</v>
      </c>
      <c r="H44" s="64" t="s">
        <v>17</v>
      </c>
      <c r="I44" s="64" t="s">
        <v>20</v>
      </c>
      <c r="J44" s="64" t="s">
        <v>206</v>
      </c>
      <c r="K44" s="64" t="s">
        <v>13</v>
      </c>
    </row>
    <row r="45" spans="1:19" s="18" customFormat="1" ht="15" customHeight="1" x14ac:dyDescent="0.3">
      <c r="A45" s="64" t="s">
        <v>209</v>
      </c>
      <c r="B45" s="65">
        <v>46056</v>
      </c>
      <c r="C45" s="66">
        <v>1</v>
      </c>
      <c r="D45" s="66">
        <v>0</v>
      </c>
      <c r="E45" s="64" t="s">
        <v>210</v>
      </c>
      <c r="F45" s="64" t="s">
        <v>98</v>
      </c>
      <c r="G45" s="64" t="s">
        <v>32</v>
      </c>
      <c r="H45" s="64" t="s">
        <v>17</v>
      </c>
      <c r="I45" s="64" t="s">
        <v>20</v>
      </c>
      <c r="J45" s="64" t="s">
        <v>206</v>
      </c>
      <c r="K45" s="64" t="s">
        <v>13</v>
      </c>
    </row>
    <row r="46" spans="1:19" s="18" customFormat="1" ht="15" customHeight="1" x14ac:dyDescent="0.3">
      <c r="A46" s="64" t="s">
        <v>251</v>
      </c>
      <c r="B46" s="65">
        <v>46056</v>
      </c>
      <c r="C46" s="66">
        <v>1</v>
      </c>
      <c r="D46" s="66">
        <v>0</v>
      </c>
      <c r="E46" s="64" t="s">
        <v>193</v>
      </c>
      <c r="F46" s="64" t="s">
        <v>98</v>
      </c>
      <c r="G46" s="64" t="s">
        <v>32</v>
      </c>
      <c r="H46" s="64" t="s">
        <v>148</v>
      </c>
      <c r="I46" s="64" t="s">
        <v>20</v>
      </c>
      <c r="J46" s="64" t="s">
        <v>252</v>
      </c>
      <c r="K46" s="64" t="s">
        <v>48</v>
      </c>
    </row>
    <row r="47" spans="1:19" s="18" customFormat="1" ht="15" customHeight="1" x14ac:dyDescent="0.3">
      <c r="A47" s="64" t="s">
        <v>241</v>
      </c>
      <c r="B47" s="65">
        <v>46056</v>
      </c>
      <c r="C47" s="66">
        <v>1</v>
      </c>
      <c r="D47" s="66">
        <v>0</v>
      </c>
      <c r="E47" s="64" t="s">
        <v>147</v>
      </c>
      <c r="F47" s="64" t="s">
        <v>98</v>
      </c>
      <c r="G47" s="64" t="s">
        <v>32</v>
      </c>
      <c r="H47" s="64" t="s">
        <v>183</v>
      </c>
      <c r="I47" s="64" t="s">
        <v>20</v>
      </c>
      <c r="J47" s="64" t="s">
        <v>149</v>
      </c>
      <c r="K47" s="64" t="s">
        <v>242</v>
      </c>
    </row>
    <row r="48" spans="1:19" ht="15" thickBot="1" x14ac:dyDescent="0.35">
      <c r="A48" s="51"/>
      <c r="B48" s="52"/>
      <c r="C48" s="53"/>
      <c r="D48" s="53"/>
      <c r="E48" s="51"/>
      <c r="F48" s="51"/>
      <c r="G48" s="51"/>
      <c r="H48" s="51"/>
      <c r="I48" s="51"/>
      <c r="J48" s="51"/>
      <c r="K48" s="2"/>
    </row>
    <row r="49" spans="1:19" ht="15" thickBot="1" x14ac:dyDescent="0.35">
      <c r="B49" s="60" t="s">
        <v>34</v>
      </c>
      <c r="C49" s="61">
        <f>SUM(C40:C47)-SUM(D40:D47)</f>
        <v>8</v>
      </c>
      <c r="E49" s="2"/>
      <c r="F49" s="2"/>
      <c r="H49" s="2"/>
      <c r="J49" s="2"/>
      <c r="K49" s="2"/>
    </row>
    <row r="50" spans="1:19" x14ac:dyDescent="0.3">
      <c r="E50" s="2"/>
      <c r="F50" s="2"/>
      <c r="H50" s="2"/>
      <c r="J50" s="2"/>
      <c r="K50" s="2"/>
    </row>
    <row r="51" spans="1:19" hidden="1" x14ac:dyDescent="0.3">
      <c r="E51" s="2"/>
      <c r="F51" s="2"/>
      <c r="H51" s="2"/>
      <c r="J51" s="2"/>
      <c r="K51" s="2"/>
    </row>
    <row r="52" spans="1:19" s="2" customFormat="1" ht="34.35" customHeight="1" x14ac:dyDescent="0.3">
      <c r="A52" s="62" t="s">
        <v>0</v>
      </c>
      <c r="B52" s="62" t="s">
        <v>1</v>
      </c>
      <c r="C52" s="62" t="s">
        <v>2</v>
      </c>
      <c r="D52" s="62" t="s">
        <v>3</v>
      </c>
      <c r="E52" s="62" t="s">
        <v>4</v>
      </c>
      <c r="F52" s="62" t="s">
        <v>51</v>
      </c>
      <c r="G52" s="62" t="s">
        <v>52</v>
      </c>
      <c r="H52" s="62" t="s">
        <v>5</v>
      </c>
      <c r="I52" s="62" t="s">
        <v>53</v>
      </c>
      <c r="J52" s="62" t="s">
        <v>27</v>
      </c>
      <c r="K52" s="62" t="s">
        <v>6</v>
      </c>
    </row>
    <row r="53" spans="1:19" x14ac:dyDescent="0.3">
      <c r="A53" s="64" t="s">
        <v>163</v>
      </c>
      <c r="B53" s="65">
        <v>46050</v>
      </c>
      <c r="C53" s="66">
        <v>1</v>
      </c>
      <c r="D53" s="66">
        <v>0</v>
      </c>
      <c r="E53" s="64" t="s">
        <v>164</v>
      </c>
      <c r="F53" s="64" t="s">
        <v>98</v>
      </c>
      <c r="G53" s="64" t="s">
        <v>55</v>
      </c>
      <c r="H53" s="64" t="s">
        <v>17</v>
      </c>
      <c r="I53" s="64" t="s">
        <v>20</v>
      </c>
      <c r="J53" s="64" t="s">
        <v>165</v>
      </c>
      <c r="K53" s="64" t="s">
        <v>13</v>
      </c>
      <c r="R53" s="4"/>
      <c r="S53" s="4"/>
    </row>
    <row r="54" spans="1:19" x14ac:dyDescent="0.3">
      <c r="A54" s="64" t="s">
        <v>222</v>
      </c>
      <c r="B54" s="65">
        <v>46042</v>
      </c>
      <c r="C54" s="66">
        <v>1</v>
      </c>
      <c r="D54" s="66">
        <v>0</v>
      </c>
      <c r="E54" s="64" t="s">
        <v>223</v>
      </c>
      <c r="F54" s="64" t="s">
        <v>200</v>
      </c>
      <c r="G54" s="64" t="s">
        <v>55</v>
      </c>
      <c r="H54" s="64" t="s">
        <v>33</v>
      </c>
      <c r="I54" s="64" t="s">
        <v>20</v>
      </c>
      <c r="J54" s="64" t="s">
        <v>180</v>
      </c>
      <c r="K54" s="64" t="s">
        <v>13</v>
      </c>
      <c r="R54" s="4"/>
      <c r="S54" s="4"/>
    </row>
    <row r="55" spans="1:19" x14ac:dyDescent="0.3">
      <c r="A55" s="64" t="s">
        <v>224</v>
      </c>
      <c r="B55" s="65">
        <v>46043</v>
      </c>
      <c r="C55" s="66">
        <v>1</v>
      </c>
      <c r="D55" s="66">
        <v>0</v>
      </c>
      <c r="E55" s="64" t="s">
        <v>225</v>
      </c>
      <c r="F55" s="64" t="s">
        <v>200</v>
      </c>
      <c r="G55" s="64" t="s">
        <v>55</v>
      </c>
      <c r="H55" s="64" t="s">
        <v>33</v>
      </c>
      <c r="I55" s="64" t="s">
        <v>20</v>
      </c>
      <c r="J55" s="64" t="s">
        <v>180</v>
      </c>
      <c r="K55" s="64" t="s">
        <v>13</v>
      </c>
      <c r="R55" s="4"/>
      <c r="S55" s="4"/>
    </row>
    <row r="56" spans="1:19" x14ac:dyDescent="0.3">
      <c r="A56" s="64" t="s">
        <v>226</v>
      </c>
      <c r="B56" s="65">
        <v>46043</v>
      </c>
      <c r="C56" s="66">
        <v>2</v>
      </c>
      <c r="D56" s="66">
        <v>0</v>
      </c>
      <c r="E56" s="64" t="s">
        <v>227</v>
      </c>
      <c r="F56" s="64" t="s">
        <v>200</v>
      </c>
      <c r="G56" s="64" t="s">
        <v>55</v>
      </c>
      <c r="H56" s="64" t="s">
        <v>33</v>
      </c>
      <c r="I56" s="64" t="s">
        <v>20</v>
      </c>
      <c r="J56" s="64" t="s">
        <v>180</v>
      </c>
      <c r="K56" s="64" t="s">
        <v>13</v>
      </c>
      <c r="R56" s="4"/>
      <c r="S56" s="4"/>
    </row>
    <row r="57" spans="1:19" x14ac:dyDescent="0.3">
      <c r="A57" s="64" t="s">
        <v>230</v>
      </c>
      <c r="B57" s="65">
        <v>46044</v>
      </c>
      <c r="C57" s="66">
        <v>1</v>
      </c>
      <c r="D57" s="66">
        <v>0</v>
      </c>
      <c r="E57" s="64" t="s">
        <v>263</v>
      </c>
      <c r="F57" s="64" t="s">
        <v>200</v>
      </c>
      <c r="G57" s="64" t="s">
        <v>55</v>
      </c>
      <c r="H57" s="64" t="s">
        <v>33</v>
      </c>
      <c r="I57" s="64" t="s">
        <v>20</v>
      </c>
      <c r="J57" s="64" t="s">
        <v>12</v>
      </c>
      <c r="K57" s="64" t="s">
        <v>24</v>
      </c>
      <c r="R57" s="4"/>
      <c r="S57" s="4"/>
    </row>
    <row r="58" spans="1:19" x14ac:dyDescent="0.3">
      <c r="A58" s="64" t="s">
        <v>237</v>
      </c>
      <c r="B58" s="65">
        <v>46048</v>
      </c>
      <c r="C58" s="66">
        <v>1</v>
      </c>
      <c r="D58" s="66">
        <v>0</v>
      </c>
      <c r="E58" s="64" t="s">
        <v>238</v>
      </c>
      <c r="F58" s="64" t="s">
        <v>200</v>
      </c>
      <c r="G58" s="64" t="s">
        <v>55</v>
      </c>
      <c r="H58" s="64" t="s">
        <v>8</v>
      </c>
      <c r="I58" s="64" t="s">
        <v>20</v>
      </c>
      <c r="J58" s="64" t="s">
        <v>12</v>
      </c>
      <c r="K58" s="64" t="s">
        <v>13</v>
      </c>
      <c r="R58" s="4"/>
      <c r="S58" s="4"/>
    </row>
    <row r="59" spans="1:19" x14ac:dyDescent="0.3">
      <c r="A59" s="64" t="s">
        <v>243</v>
      </c>
      <c r="B59" s="65">
        <v>46050</v>
      </c>
      <c r="C59" s="66">
        <v>1</v>
      </c>
      <c r="D59" s="66">
        <v>0</v>
      </c>
      <c r="E59" s="64" t="s">
        <v>244</v>
      </c>
      <c r="F59" s="64" t="s">
        <v>98</v>
      </c>
      <c r="G59" s="64" t="s">
        <v>55</v>
      </c>
      <c r="H59" s="64" t="s">
        <v>102</v>
      </c>
      <c r="I59" s="64" t="s">
        <v>20</v>
      </c>
      <c r="J59" s="64" t="s">
        <v>103</v>
      </c>
      <c r="K59" s="64" t="s">
        <v>21</v>
      </c>
      <c r="R59" s="4"/>
      <c r="S59" s="4"/>
    </row>
    <row r="60" spans="1:19" x14ac:dyDescent="0.3">
      <c r="A60" s="64" t="s">
        <v>245</v>
      </c>
      <c r="B60" s="65">
        <v>46050</v>
      </c>
      <c r="C60" s="66">
        <v>1</v>
      </c>
      <c r="D60" s="66">
        <v>0</v>
      </c>
      <c r="E60" s="64" t="s">
        <v>46</v>
      </c>
      <c r="F60" s="64" t="s">
        <v>98</v>
      </c>
      <c r="G60" s="64" t="s">
        <v>55</v>
      </c>
      <c r="H60" s="64" t="s">
        <v>33</v>
      </c>
      <c r="I60" s="64" t="s">
        <v>20</v>
      </c>
      <c r="J60" s="64" t="s">
        <v>49</v>
      </c>
      <c r="K60" s="64" t="s">
        <v>91</v>
      </c>
      <c r="R60" s="4"/>
      <c r="S60" s="4"/>
    </row>
    <row r="61" spans="1:19" s="2" customFormat="1" x14ac:dyDescent="0.3">
      <c r="A61" s="64" t="s">
        <v>253</v>
      </c>
      <c r="B61" s="65">
        <v>46051</v>
      </c>
      <c r="C61" s="66">
        <v>1</v>
      </c>
      <c r="D61" s="66">
        <v>0</v>
      </c>
      <c r="E61" s="64" t="s">
        <v>244</v>
      </c>
      <c r="F61" s="64" t="s">
        <v>98</v>
      </c>
      <c r="G61" s="64" t="s">
        <v>55</v>
      </c>
      <c r="H61" s="64" t="s">
        <v>33</v>
      </c>
      <c r="I61" s="64" t="s">
        <v>20</v>
      </c>
      <c r="J61" s="64" t="s">
        <v>103</v>
      </c>
      <c r="K61" s="64" t="s">
        <v>21</v>
      </c>
      <c r="L61" s="4"/>
      <c r="M61" s="4"/>
      <c r="N61" s="4"/>
      <c r="O61" s="4"/>
      <c r="P61" s="4"/>
      <c r="Q61" s="4"/>
      <c r="R61" s="4"/>
    </row>
    <row r="62" spans="1:19" s="2" customFormat="1" x14ac:dyDescent="0.3">
      <c r="A62" s="64" t="s">
        <v>254</v>
      </c>
      <c r="B62" s="65">
        <v>46051</v>
      </c>
      <c r="C62" s="66">
        <v>1</v>
      </c>
      <c r="D62" s="66">
        <v>0</v>
      </c>
      <c r="E62" s="64" t="s">
        <v>101</v>
      </c>
      <c r="F62" s="64" t="s">
        <v>98</v>
      </c>
      <c r="G62" s="64" t="s">
        <v>55</v>
      </c>
      <c r="H62" s="64" t="s">
        <v>33</v>
      </c>
      <c r="I62" s="64" t="s">
        <v>20</v>
      </c>
      <c r="J62" s="64" t="s">
        <v>103</v>
      </c>
      <c r="K62" s="64" t="s">
        <v>21</v>
      </c>
      <c r="L62" s="4"/>
      <c r="M62" s="4"/>
      <c r="N62" s="4"/>
      <c r="O62" s="4"/>
      <c r="P62" s="4"/>
      <c r="Q62" s="4"/>
      <c r="R62" s="4"/>
    </row>
    <row r="63" spans="1:19" s="2" customFormat="1" x14ac:dyDescent="0.3">
      <c r="A63" s="64" t="s">
        <v>264</v>
      </c>
      <c r="B63" s="65">
        <v>46055</v>
      </c>
      <c r="C63" s="66">
        <v>1</v>
      </c>
      <c r="D63" s="66">
        <v>0</v>
      </c>
      <c r="E63" s="64" t="s">
        <v>29</v>
      </c>
      <c r="F63" s="64" t="s">
        <v>98</v>
      </c>
      <c r="G63" s="64" t="s">
        <v>55</v>
      </c>
      <c r="H63" s="64" t="s">
        <v>33</v>
      </c>
      <c r="I63" s="64" t="s">
        <v>20</v>
      </c>
      <c r="J63" s="64" t="s">
        <v>65</v>
      </c>
      <c r="K63" s="64" t="s">
        <v>48</v>
      </c>
      <c r="L63" s="4"/>
      <c r="M63" s="4"/>
      <c r="N63" s="4"/>
      <c r="O63" s="4"/>
      <c r="P63" s="4"/>
      <c r="Q63" s="4"/>
      <c r="R63" s="4"/>
    </row>
    <row r="64" spans="1:19" s="2" customFormat="1" x14ac:dyDescent="0.3">
      <c r="A64" s="64" t="s">
        <v>265</v>
      </c>
      <c r="B64" s="65">
        <v>46055</v>
      </c>
      <c r="C64" s="66">
        <v>1</v>
      </c>
      <c r="D64" s="66">
        <v>0</v>
      </c>
      <c r="E64" s="64" t="s">
        <v>29</v>
      </c>
      <c r="F64" s="64" t="s">
        <v>98</v>
      </c>
      <c r="G64" s="64" t="s">
        <v>55</v>
      </c>
      <c r="H64" s="64" t="s">
        <v>33</v>
      </c>
      <c r="I64" s="64" t="s">
        <v>20</v>
      </c>
      <c r="J64" s="64" t="s">
        <v>65</v>
      </c>
      <c r="K64" s="64" t="s">
        <v>48</v>
      </c>
      <c r="L64" s="4"/>
      <c r="M64" s="4"/>
      <c r="N64" s="4"/>
      <c r="O64" s="4"/>
      <c r="P64" s="4"/>
      <c r="Q64" s="4"/>
      <c r="R64" s="4"/>
    </row>
    <row r="65" spans="1:29" s="2" customFormat="1" hidden="1" x14ac:dyDescent="0.3">
      <c r="A65" s="63"/>
      <c r="B65" s="4"/>
      <c r="C65" s="4"/>
      <c r="D65" s="4"/>
      <c r="E65" s="4"/>
      <c r="F65" s="4"/>
      <c r="G65" s="3"/>
      <c r="H65" s="3"/>
      <c r="I65" s="4"/>
      <c r="J65" s="4"/>
      <c r="K65" s="4"/>
      <c r="L65" s="4"/>
      <c r="M65" s="4"/>
      <c r="N65" s="4"/>
      <c r="O65" s="4"/>
      <c r="P65" s="4"/>
      <c r="Q65" s="4"/>
      <c r="R65" s="4"/>
    </row>
    <row r="66" spans="1:29" s="2" customFormat="1" hidden="1" x14ac:dyDescent="0.3">
      <c r="A66" s="4"/>
      <c r="B66" s="4"/>
      <c r="C66" s="4"/>
      <c r="D66" s="4"/>
      <c r="E66" s="4"/>
      <c r="F66" s="4"/>
      <c r="G66" s="3"/>
      <c r="H66" s="3"/>
      <c r="I66" s="4"/>
      <c r="J66" s="4"/>
      <c r="K66" s="4"/>
      <c r="L66" s="4"/>
      <c r="M66" s="4"/>
      <c r="N66" s="4"/>
      <c r="O66" s="4"/>
      <c r="P66" s="4"/>
      <c r="Q66" s="4"/>
      <c r="R66" s="4"/>
    </row>
    <row r="67" spans="1:29" s="2" customFormat="1" hidden="1" x14ac:dyDescent="0.3">
      <c r="A67" s="4"/>
      <c r="B67" s="4"/>
      <c r="C67" s="4"/>
      <c r="D67" s="4"/>
      <c r="E67" s="4"/>
      <c r="F67" s="4"/>
      <c r="G67" s="3"/>
      <c r="H67" s="3"/>
      <c r="I67" s="4"/>
      <c r="J67" s="4"/>
      <c r="K67" s="4"/>
      <c r="L67" s="4"/>
      <c r="M67" s="4"/>
      <c r="N67" s="4"/>
      <c r="O67" s="4"/>
      <c r="P67" s="4"/>
      <c r="Q67" s="4"/>
      <c r="R67" s="4"/>
    </row>
    <row r="68" spans="1:29" s="2" customFormat="1" hidden="1" x14ac:dyDescent="0.3">
      <c r="A68" s="19"/>
      <c r="B68" s="20"/>
      <c r="C68" s="21"/>
      <c r="D68" s="21"/>
      <c r="E68" s="19"/>
      <c r="F68" s="19"/>
      <c r="G68" s="19"/>
      <c r="H68" s="19"/>
      <c r="I68" s="19"/>
      <c r="J68" s="19"/>
      <c r="K68" s="19"/>
      <c r="L68" s="4"/>
      <c r="M68" s="4"/>
      <c r="N68" s="4"/>
      <c r="O68" s="4"/>
      <c r="P68" s="4"/>
      <c r="Q68" s="4"/>
      <c r="R68" s="3"/>
      <c r="S68" s="3"/>
      <c r="T68" s="4"/>
      <c r="U68" s="4"/>
      <c r="V68" s="4"/>
      <c r="W68" s="4"/>
      <c r="X68" s="4"/>
      <c r="Y68" s="4"/>
      <c r="Z68" s="4"/>
      <c r="AA68" s="4"/>
      <c r="AB68" s="4"/>
      <c r="AC68" s="4"/>
    </row>
    <row r="69" spans="1:29" s="2" customFormat="1" hidden="1" x14ac:dyDescent="0.3">
      <c r="A69" s="19"/>
      <c r="B69" s="20"/>
      <c r="C69" s="21"/>
      <c r="D69" s="21"/>
      <c r="E69" s="19"/>
      <c r="F69" s="19"/>
      <c r="G69" s="19"/>
      <c r="H69" s="19"/>
      <c r="I69" s="19"/>
      <c r="J69" s="19"/>
      <c r="K69" s="19"/>
      <c r="L69" s="4"/>
      <c r="M69" s="4"/>
      <c r="N69" s="4"/>
      <c r="O69" s="4"/>
      <c r="P69" s="4"/>
      <c r="Q69" s="4"/>
      <c r="R69" s="3"/>
      <c r="S69" s="3"/>
      <c r="T69" s="4"/>
      <c r="U69" s="4"/>
      <c r="V69" s="4"/>
      <c r="W69" s="4"/>
      <c r="X69" s="4"/>
      <c r="Y69" s="4"/>
      <c r="Z69" s="4"/>
      <c r="AA69" s="4"/>
      <c r="AB69" s="4"/>
      <c r="AC69" s="4"/>
    </row>
    <row r="70" spans="1:29" s="2" customFormat="1" ht="15" thickBot="1" x14ac:dyDescent="0.35">
      <c r="A70" s="51"/>
      <c r="B70" s="52"/>
      <c r="C70" s="53"/>
      <c r="D70" s="53"/>
      <c r="E70" s="51"/>
      <c r="F70" s="51"/>
      <c r="G70" s="51"/>
      <c r="H70" s="51"/>
      <c r="I70" s="51"/>
      <c r="J70" s="51"/>
      <c r="K70" s="51"/>
      <c r="L70" s="4"/>
      <c r="M70" s="4"/>
      <c r="N70" s="4"/>
      <c r="O70" s="4"/>
      <c r="P70" s="4"/>
      <c r="Q70" s="4"/>
      <c r="R70" s="3"/>
      <c r="S70" s="3"/>
      <c r="T70" s="4"/>
      <c r="U70" s="4"/>
      <c r="V70" s="4"/>
      <c r="W70" s="4"/>
      <c r="X70" s="4"/>
      <c r="Y70" s="4"/>
      <c r="Z70" s="4"/>
      <c r="AA70" s="4"/>
      <c r="AB70" s="4"/>
      <c r="AC70" s="4"/>
    </row>
    <row r="71" spans="1:29" ht="15" thickBot="1" x14ac:dyDescent="0.35">
      <c r="B71" s="38" t="s">
        <v>266</v>
      </c>
      <c r="C71" s="22">
        <v>13</v>
      </c>
    </row>
  </sheetData>
  <autoFilter ref="A3:J31" xr:uid="{6E392464-0CD5-4B6C-9B5A-A4EF4B03C567}"/>
  <conditionalFormatting sqref="F1:F34 F37:F1048576">
    <cfRule type="cellIs" dxfId="347" priority="1" operator="equal">
      <formula>"Non-Billable"</formula>
    </cfRule>
    <cfRule type="cellIs" dxfId="346" priority="2" operator="equal">
      <formula>"Billable"</formula>
    </cfRule>
  </conditionalFormatting>
  <conditionalFormatting sqref="F35">
    <cfRule type="cellIs" dxfId="345" priority="10" operator="equal">
      <formula>"Not Accepting Application"</formula>
    </cfRule>
    <cfRule type="cellIs" dxfId="344" priority="11" operator="equal">
      <formula>"Y"</formula>
    </cfRule>
  </conditionalFormatting>
  <conditionalFormatting sqref="H1:H2 H4:H34 F35 H36:H38 H40:H51 H68:H1048576">
    <cfRule type="cellIs" dxfId="343" priority="8" operator="equal">
      <formula>"Not accpeting applications"</formula>
    </cfRule>
  </conditionalFormatting>
  <conditionalFormatting sqref="H1:H2 H4:H34 H36:H38 H40:H51 V53:V67 AG68:AG71 H68:H1048576">
    <cfRule type="cellIs" dxfId="342" priority="6" operator="equal">
      <formula>"Not Accepting Applications"</formula>
    </cfRule>
  </conditionalFormatting>
  <conditionalFormatting sqref="H4:H34">
    <cfRule type="cellIs" dxfId="341" priority="9" operator="equal">
      <formula>"Accepting Applications"</formula>
    </cfRule>
  </conditionalFormatting>
  <conditionalFormatting sqref="H40:H42">
    <cfRule type="cellIs" dxfId="340" priority="7" operator="equal">
      <formula>"Not accepting applications"</formula>
    </cfRule>
  </conditionalFormatting>
  <conditionalFormatting sqref="H44:H47">
    <cfRule type="cellIs" dxfId="339" priority="12" operator="equal">
      <formula>"Not Accepting Application"</formula>
    </cfRule>
    <cfRule type="cellIs" dxfId="338" priority="13" operator="equal">
      <formula>"Accepting Applications"</formula>
    </cfRule>
    <cfRule type="cellIs" dxfId="337" priority="14" operator="equal">
      <formula>"Y"</formula>
    </cfRule>
  </conditionalFormatting>
  <conditionalFormatting sqref="I1:I34 F35:G35 I37:I1048576">
    <cfRule type="cellIs" dxfId="336" priority="4" operator="equal">
      <formula>"Accepting Applications"</formula>
    </cfRule>
    <cfRule type="cellIs" dxfId="335" priority="5" operator="equal">
      <formula>"Not Accepting Applications"</formula>
    </cfRule>
  </conditionalFormatting>
  <conditionalFormatting sqref="I1:I34 G35 I37:I1048576">
    <cfRule type="cellIs" dxfId="334" priority="3" operator="equal">
      <formula>"Pending"</formula>
    </cfRule>
  </conditionalFormatting>
  <pageMargins left="0.7" right="0.7" top="0.75" bottom="0.75" header="0.3" footer="0.3"/>
  <pageSetup orientation="landscape" horizontalDpi="4294967295" verticalDpi="4294967295"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D9011-C03C-4F4B-BF45-D99D0D9308F2}">
  <sheetPr>
    <tabColor theme="2" tint="-0.499984740745262"/>
  </sheetPr>
  <dimension ref="A1:AC82"/>
  <sheetViews>
    <sheetView showGridLines="0" topLeftCell="A29" zoomScale="80" zoomScaleNormal="80" workbookViewId="0">
      <selection activeCell="C82" sqref="B82:C82"/>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0.33333333333333331</v>
      </c>
      <c r="B1" s="37">
        <v>46055</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64" t="s">
        <v>59</v>
      </c>
      <c r="B4" s="65">
        <v>46043</v>
      </c>
      <c r="C4" s="66">
        <v>5</v>
      </c>
      <c r="D4" s="66">
        <v>4</v>
      </c>
      <c r="E4" s="64" t="s">
        <v>46</v>
      </c>
      <c r="F4" s="64" t="s">
        <v>200</v>
      </c>
      <c r="G4" s="64" t="s">
        <v>7</v>
      </c>
      <c r="H4" s="64" t="s">
        <v>18</v>
      </c>
      <c r="I4" s="64" t="s">
        <v>56</v>
      </c>
      <c r="J4" s="64" t="s">
        <v>49</v>
      </c>
      <c r="K4" s="64" t="s">
        <v>48</v>
      </c>
      <c r="AB4" s="2" t="s">
        <v>10</v>
      </c>
      <c r="AC4" s="2" t="s">
        <v>11</v>
      </c>
    </row>
    <row r="5" spans="1:29" s="2" customFormat="1" x14ac:dyDescent="0.3">
      <c r="A5" s="64" t="s">
        <v>74</v>
      </c>
      <c r="B5" s="65">
        <v>46030</v>
      </c>
      <c r="C5" s="66">
        <v>1</v>
      </c>
      <c r="D5" s="66">
        <v>0</v>
      </c>
      <c r="E5" s="64" t="s">
        <v>75</v>
      </c>
      <c r="F5" s="64" t="s">
        <v>98</v>
      </c>
      <c r="G5" s="64" t="s">
        <v>7</v>
      </c>
      <c r="H5" s="64" t="s">
        <v>76</v>
      </c>
      <c r="I5" s="64" t="s">
        <v>20</v>
      </c>
      <c r="J5" s="64" t="s">
        <v>77</v>
      </c>
      <c r="K5" s="64" t="s">
        <v>13</v>
      </c>
      <c r="AB5" s="2" t="s">
        <v>14</v>
      </c>
      <c r="AC5" s="2">
        <v>17</v>
      </c>
    </row>
    <row r="6" spans="1:29" s="2" customFormat="1" x14ac:dyDescent="0.3">
      <c r="A6" s="64" t="s">
        <v>81</v>
      </c>
      <c r="B6" s="65">
        <v>46034</v>
      </c>
      <c r="C6" s="66">
        <v>2</v>
      </c>
      <c r="D6" s="66">
        <v>0</v>
      </c>
      <c r="E6" s="64" t="s">
        <v>41</v>
      </c>
      <c r="F6" s="64" t="s">
        <v>98</v>
      </c>
      <c r="G6" s="64" t="s">
        <v>7</v>
      </c>
      <c r="H6" s="64" t="s">
        <v>18</v>
      </c>
      <c r="I6" s="64" t="s">
        <v>56</v>
      </c>
      <c r="J6" s="64" t="s">
        <v>82</v>
      </c>
      <c r="K6" s="64" t="s">
        <v>22</v>
      </c>
      <c r="N6" s="10"/>
      <c r="AB6" s="2" t="s">
        <v>15</v>
      </c>
      <c r="AC6" s="2">
        <v>3</v>
      </c>
    </row>
    <row r="7" spans="1:29" s="2" customFormat="1" x14ac:dyDescent="0.3">
      <c r="A7" s="64" t="s">
        <v>89</v>
      </c>
      <c r="B7" s="65">
        <v>45982</v>
      </c>
      <c r="C7" s="66">
        <v>1</v>
      </c>
      <c r="D7" s="66">
        <v>0</v>
      </c>
      <c r="E7" s="64" t="s">
        <v>90</v>
      </c>
      <c r="F7" s="64" t="s">
        <v>98</v>
      </c>
      <c r="G7" s="64" t="s">
        <v>7</v>
      </c>
      <c r="H7" s="64" t="s">
        <v>18</v>
      </c>
      <c r="I7" s="64" t="s">
        <v>56</v>
      </c>
      <c r="J7" s="64" t="s">
        <v>26</v>
      </c>
      <c r="K7" s="64" t="s">
        <v>91</v>
      </c>
      <c r="N7" s="10"/>
      <c r="V7" s="11"/>
      <c r="AB7" s="2" t="s">
        <v>16</v>
      </c>
      <c r="AC7" s="2">
        <v>4</v>
      </c>
    </row>
    <row r="8" spans="1:29" s="2" customFormat="1" x14ac:dyDescent="0.3">
      <c r="A8" s="64" t="s">
        <v>92</v>
      </c>
      <c r="B8" s="65">
        <v>45971</v>
      </c>
      <c r="C8" s="66">
        <v>1</v>
      </c>
      <c r="D8" s="66">
        <v>0</v>
      </c>
      <c r="E8" s="64" t="s">
        <v>93</v>
      </c>
      <c r="F8" s="64" t="s">
        <v>98</v>
      </c>
      <c r="G8" s="64" t="s">
        <v>7</v>
      </c>
      <c r="H8" s="64" t="s">
        <v>94</v>
      </c>
      <c r="I8" s="64" t="s">
        <v>9</v>
      </c>
      <c r="J8" s="64" t="s">
        <v>95</v>
      </c>
      <c r="K8" s="64" t="s">
        <v>91</v>
      </c>
      <c r="N8" s="10"/>
    </row>
    <row r="9" spans="1:29" s="2" customFormat="1" x14ac:dyDescent="0.3">
      <c r="A9" s="64" t="s">
        <v>96</v>
      </c>
      <c r="B9" s="65">
        <v>46051</v>
      </c>
      <c r="C9" s="66">
        <v>1</v>
      </c>
      <c r="D9" s="66">
        <v>0</v>
      </c>
      <c r="E9" s="64" t="s">
        <v>97</v>
      </c>
      <c r="F9" s="64" t="s">
        <v>98</v>
      </c>
      <c r="G9" s="64" t="s">
        <v>7</v>
      </c>
      <c r="H9" s="64" t="s">
        <v>18</v>
      </c>
      <c r="I9" s="64" t="s">
        <v>56</v>
      </c>
      <c r="J9" s="64" t="s">
        <v>95</v>
      </c>
      <c r="K9" s="64" t="s">
        <v>13</v>
      </c>
      <c r="N9" s="10"/>
    </row>
    <row r="10" spans="1:29" s="2" customFormat="1" x14ac:dyDescent="0.3">
      <c r="A10" s="64" t="s">
        <v>99</v>
      </c>
      <c r="B10" s="65">
        <v>45972</v>
      </c>
      <c r="C10" s="66">
        <v>1</v>
      </c>
      <c r="D10" s="66">
        <v>0</v>
      </c>
      <c r="E10" s="64" t="s">
        <v>166</v>
      </c>
      <c r="F10" s="64" t="s">
        <v>98</v>
      </c>
      <c r="G10" s="64" t="s">
        <v>7</v>
      </c>
      <c r="H10" s="64" t="s">
        <v>44</v>
      </c>
      <c r="I10" s="64" t="s">
        <v>20</v>
      </c>
      <c r="J10" s="64" t="s">
        <v>166</v>
      </c>
      <c r="K10" s="64" t="s">
        <v>13</v>
      </c>
      <c r="N10" s="10"/>
    </row>
    <row r="11" spans="1:29" s="2" customFormat="1" x14ac:dyDescent="0.3">
      <c r="A11" s="64" t="s">
        <v>100</v>
      </c>
      <c r="B11" s="65">
        <v>46051</v>
      </c>
      <c r="C11" s="66">
        <v>2</v>
      </c>
      <c r="D11" s="66">
        <v>1</v>
      </c>
      <c r="E11" s="64" t="s">
        <v>101</v>
      </c>
      <c r="F11" s="64" t="s">
        <v>98</v>
      </c>
      <c r="G11" s="64" t="s">
        <v>7</v>
      </c>
      <c r="H11" s="64" t="s">
        <v>235</v>
      </c>
      <c r="I11" s="64" t="s">
        <v>20</v>
      </c>
      <c r="J11" s="64" t="s">
        <v>103</v>
      </c>
      <c r="K11" s="64" t="s">
        <v>21</v>
      </c>
    </row>
    <row r="12" spans="1:29" s="2" customFormat="1" x14ac:dyDescent="0.3">
      <c r="A12" s="64" t="s">
        <v>116</v>
      </c>
      <c r="B12" s="65">
        <v>46050</v>
      </c>
      <c r="C12" s="66">
        <v>1</v>
      </c>
      <c r="D12" s="66">
        <v>0</v>
      </c>
      <c r="E12" s="64" t="s">
        <v>54</v>
      </c>
      <c r="F12" s="64" t="s">
        <v>200</v>
      </c>
      <c r="G12" s="64" t="s">
        <v>7</v>
      </c>
      <c r="H12" s="64" t="s">
        <v>18</v>
      </c>
      <c r="I12" s="64" t="s">
        <v>56</v>
      </c>
      <c r="J12" s="64" t="s">
        <v>117</v>
      </c>
      <c r="K12" s="64" t="s">
        <v>118</v>
      </c>
    </row>
    <row r="13" spans="1:29" s="2" customFormat="1" x14ac:dyDescent="0.3">
      <c r="A13" s="64" t="s">
        <v>122</v>
      </c>
      <c r="B13" s="65">
        <v>46052</v>
      </c>
      <c r="C13" s="66">
        <v>2</v>
      </c>
      <c r="D13" s="66">
        <v>0</v>
      </c>
      <c r="E13" s="64" t="s">
        <v>236</v>
      </c>
      <c r="F13" s="64" t="s">
        <v>98</v>
      </c>
      <c r="G13" s="64" t="s">
        <v>7</v>
      </c>
      <c r="H13" s="64" t="s">
        <v>23</v>
      </c>
      <c r="I13" s="64" t="s">
        <v>9</v>
      </c>
      <c r="J13" s="64" t="s">
        <v>121</v>
      </c>
      <c r="K13" s="64" t="s">
        <v>13</v>
      </c>
    </row>
    <row r="14" spans="1:29" s="2" customFormat="1" x14ac:dyDescent="0.3">
      <c r="A14" s="64" t="s">
        <v>128</v>
      </c>
      <c r="B14" s="65">
        <v>46035</v>
      </c>
      <c r="C14" s="66">
        <v>1</v>
      </c>
      <c r="D14" s="66">
        <v>0</v>
      </c>
      <c r="E14" s="64" t="s">
        <v>129</v>
      </c>
      <c r="F14" s="64" t="s">
        <v>200</v>
      </c>
      <c r="G14" s="64" t="s">
        <v>7</v>
      </c>
      <c r="H14" s="64" t="s">
        <v>64</v>
      </c>
      <c r="I14" s="64" t="s">
        <v>9</v>
      </c>
      <c r="J14" s="64" t="s">
        <v>65</v>
      </c>
      <c r="K14" s="64" t="s">
        <v>48</v>
      </c>
    </row>
    <row r="15" spans="1:29" s="2" customFormat="1" x14ac:dyDescent="0.3">
      <c r="A15" s="64" t="s">
        <v>135</v>
      </c>
      <c r="B15" s="65">
        <v>46048</v>
      </c>
      <c r="C15" s="66">
        <v>1</v>
      </c>
      <c r="D15" s="66">
        <v>0</v>
      </c>
      <c r="E15" s="64" t="s">
        <v>136</v>
      </c>
      <c r="F15" s="64" t="s">
        <v>200</v>
      </c>
      <c r="G15" s="64" t="s">
        <v>7</v>
      </c>
      <c r="H15" s="64" t="s">
        <v>23</v>
      </c>
      <c r="I15" s="64" t="s">
        <v>9</v>
      </c>
      <c r="J15" s="64" t="s">
        <v>137</v>
      </c>
      <c r="K15" s="64" t="s">
        <v>13</v>
      </c>
    </row>
    <row r="16" spans="1:29" s="2" customFormat="1" x14ac:dyDescent="0.3">
      <c r="A16" s="64" t="s">
        <v>138</v>
      </c>
      <c r="B16" s="65">
        <v>46006</v>
      </c>
      <c r="C16" s="66">
        <v>5</v>
      </c>
      <c r="D16" s="66">
        <v>0</v>
      </c>
      <c r="E16" s="64" t="s">
        <v>45</v>
      </c>
      <c r="F16" s="64" t="s">
        <v>200</v>
      </c>
      <c r="G16" s="64" t="s">
        <v>7</v>
      </c>
      <c r="H16" s="64" t="s">
        <v>139</v>
      </c>
      <c r="I16" s="64" t="s">
        <v>20</v>
      </c>
      <c r="J16" s="64" t="s">
        <v>140</v>
      </c>
      <c r="K16" s="64" t="s">
        <v>22</v>
      </c>
    </row>
    <row r="17" spans="1:11" s="2" customFormat="1" x14ac:dyDescent="0.3">
      <c r="A17" s="64" t="s">
        <v>141</v>
      </c>
      <c r="B17" s="65">
        <v>46048</v>
      </c>
      <c r="C17" s="66">
        <v>4</v>
      </c>
      <c r="D17" s="66">
        <v>0</v>
      </c>
      <c r="E17" s="64" t="s">
        <v>142</v>
      </c>
      <c r="F17" s="64" t="s">
        <v>200</v>
      </c>
      <c r="G17" s="64" t="s">
        <v>7</v>
      </c>
      <c r="H17" s="64" t="s">
        <v>139</v>
      </c>
      <c r="I17" s="64" t="s">
        <v>20</v>
      </c>
      <c r="J17" s="64" t="s">
        <v>140</v>
      </c>
      <c r="K17" s="64" t="s">
        <v>22</v>
      </c>
    </row>
    <row r="18" spans="1:11" s="2" customFormat="1" x14ac:dyDescent="0.3">
      <c r="A18" s="64" t="s">
        <v>143</v>
      </c>
      <c r="B18" s="65">
        <v>46014</v>
      </c>
      <c r="C18" s="66">
        <v>2</v>
      </c>
      <c r="D18" s="66">
        <v>1</v>
      </c>
      <c r="E18" s="64" t="s">
        <v>29</v>
      </c>
      <c r="F18" s="64" t="s">
        <v>200</v>
      </c>
      <c r="G18" s="64" t="s">
        <v>7</v>
      </c>
      <c r="H18" s="64" t="s">
        <v>18</v>
      </c>
      <c r="I18" s="64" t="s">
        <v>56</v>
      </c>
      <c r="J18" s="64" t="s">
        <v>140</v>
      </c>
      <c r="K18" s="64" t="s">
        <v>22</v>
      </c>
    </row>
    <row r="19" spans="1:11" s="2" customFormat="1" x14ac:dyDescent="0.3">
      <c r="A19" s="64" t="s">
        <v>146</v>
      </c>
      <c r="B19" s="65">
        <v>46048</v>
      </c>
      <c r="C19" s="66">
        <v>1</v>
      </c>
      <c r="D19" s="66">
        <v>0</v>
      </c>
      <c r="E19" s="64" t="s">
        <v>147</v>
      </c>
      <c r="F19" s="64" t="s">
        <v>98</v>
      </c>
      <c r="G19" s="64" t="s">
        <v>7</v>
      </c>
      <c r="H19" s="64" t="s">
        <v>18</v>
      </c>
      <c r="I19" s="64" t="s">
        <v>56</v>
      </c>
      <c r="J19" s="64" t="s">
        <v>149</v>
      </c>
      <c r="K19" s="64" t="s">
        <v>13</v>
      </c>
    </row>
    <row r="20" spans="1:11" s="2" customFormat="1" x14ac:dyDescent="0.3">
      <c r="A20" s="64" t="s">
        <v>150</v>
      </c>
      <c r="B20" s="65">
        <v>46050</v>
      </c>
      <c r="C20" s="66">
        <v>1</v>
      </c>
      <c r="D20" s="66">
        <v>0</v>
      </c>
      <c r="E20" s="64" t="s">
        <v>151</v>
      </c>
      <c r="F20" s="64" t="s">
        <v>98</v>
      </c>
      <c r="G20" s="64" t="s">
        <v>7</v>
      </c>
      <c r="H20" s="64" t="s">
        <v>18</v>
      </c>
      <c r="I20" s="64" t="s">
        <v>56</v>
      </c>
      <c r="J20" s="64" t="s">
        <v>149</v>
      </c>
      <c r="K20" s="64" t="s">
        <v>13</v>
      </c>
    </row>
    <row r="21" spans="1:11" s="2" customFormat="1" ht="15" customHeight="1" x14ac:dyDescent="0.3">
      <c r="A21" s="64" t="s">
        <v>152</v>
      </c>
      <c r="B21" s="65">
        <v>46006</v>
      </c>
      <c r="C21" s="66">
        <v>1</v>
      </c>
      <c r="D21" s="66">
        <v>0</v>
      </c>
      <c r="E21" s="64" t="s">
        <v>153</v>
      </c>
      <c r="F21" s="64" t="s">
        <v>200</v>
      </c>
      <c r="G21" s="64" t="s">
        <v>7</v>
      </c>
      <c r="H21" s="64" t="s">
        <v>33</v>
      </c>
      <c r="I21" s="64" t="s">
        <v>20</v>
      </c>
      <c r="J21" s="64" t="s">
        <v>77</v>
      </c>
      <c r="K21" s="64" t="s">
        <v>13</v>
      </c>
    </row>
    <row r="22" spans="1:11" s="2" customFormat="1" ht="13.95" customHeight="1" x14ac:dyDescent="0.3">
      <c r="A22" s="64" t="s">
        <v>154</v>
      </c>
      <c r="B22" s="65">
        <v>46015</v>
      </c>
      <c r="C22" s="66">
        <v>1</v>
      </c>
      <c r="D22" s="66">
        <v>0</v>
      </c>
      <c r="E22" s="64" t="s">
        <v>155</v>
      </c>
      <c r="F22" s="64" t="s">
        <v>98</v>
      </c>
      <c r="G22" s="64" t="s">
        <v>7</v>
      </c>
      <c r="H22" s="64" t="s">
        <v>47</v>
      </c>
      <c r="I22" s="64" t="s">
        <v>9</v>
      </c>
      <c r="J22" s="64" t="s">
        <v>156</v>
      </c>
      <c r="K22" s="64" t="s">
        <v>13</v>
      </c>
    </row>
    <row r="23" spans="1:11" s="2" customFormat="1" x14ac:dyDescent="0.3">
      <c r="A23" s="64" t="s">
        <v>157</v>
      </c>
      <c r="B23" s="65">
        <v>46020</v>
      </c>
      <c r="C23" s="66">
        <v>1</v>
      </c>
      <c r="D23" s="66">
        <v>0</v>
      </c>
      <c r="E23" s="64" t="s">
        <v>158</v>
      </c>
      <c r="F23" s="64" t="s">
        <v>98</v>
      </c>
      <c r="G23" s="64" t="s">
        <v>7</v>
      </c>
      <c r="H23" s="64" t="s">
        <v>17</v>
      </c>
      <c r="I23" s="64" t="s">
        <v>9</v>
      </c>
      <c r="J23" s="64" t="s">
        <v>159</v>
      </c>
      <c r="K23" s="64" t="s">
        <v>28</v>
      </c>
    </row>
    <row r="24" spans="1:11" s="2" customFormat="1" x14ac:dyDescent="0.3">
      <c r="A24" s="64" t="s">
        <v>162</v>
      </c>
      <c r="B24" s="65">
        <v>46019</v>
      </c>
      <c r="C24" s="66">
        <v>1</v>
      </c>
      <c r="D24" s="66">
        <v>0</v>
      </c>
      <c r="E24" s="64" t="s">
        <v>166</v>
      </c>
      <c r="F24" s="64" t="s">
        <v>200</v>
      </c>
      <c r="G24" s="64" t="s">
        <v>7</v>
      </c>
      <c r="H24" s="64" t="s">
        <v>33</v>
      </c>
      <c r="I24" s="64" t="s">
        <v>20</v>
      </c>
      <c r="J24" s="64" t="s">
        <v>166</v>
      </c>
      <c r="K24" s="64" t="s">
        <v>13</v>
      </c>
    </row>
    <row r="25" spans="1:11" s="2" customFormat="1" x14ac:dyDescent="0.3">
      <c r="A25" s="64" t="s">
        <v>172</v>
      </c>
      <c r="B25" s="65">
        <v>46044</v>
      </c>
      <c r="C25" s="66">
        <v>1</v>
      </c>
      <c r="D25" s="66">
        <v>0</v>
      </c>
      <c r="E25" s="64" t="s">
        <v>173</v>
      </c>
      <c r="F25" s="64" t="s">
        <v>98</v>
      </c>
      <c r="G25" s="64" t="s">
        <v>7</v>
      </c>
      <c r="H25" s="64" t="s">
        <v>33</v>
      </c>
      <c r="I25" s="64" t="s">
        <v>20</v>
      </c>
      <c r="J25" s="64" t="s">
        <v>175</v>
      </c>
      <c r="K25" s="64" t="s">
        <v>176</v>
      </c>
    </row>
    <row r="26" spans="1:11" s="2" customFormat="1" ht="15" customHeight="1" x14ac:dyDescent="0.3">
      <c r="A26" s="64" t="s">
        <v>188</v>
      </c>
      <c r="B26" s="65">
        <v>46036</v>
      </c>
      <c r="C26" s="66">
        <v>1</v>
      </c>
      <c r="D26" s="66">
        <v>0</v>
      </c>
      <c r="E26" s="64" t="s">
        <v>41</v>
      </c>
      <c r="F26" s="64" t="s">
        <v>98</v>
      </c>
      <c r="G26" s="64" t="s">
        <v>7</v>
      </c>
      <c r="H26" s="64" t="s">
        <v>18</v>
      </c>
      <c r="I26" s="64" t="s">
        <v>56</v>
      </c>
      <c r="J26" s="64" t="s">
        <v>82</v>
      </c>
      <c r="K26" s="64" t="s">
        <v>22</v>
      </c>
    </row>
    <row r="27" spans="1:11" s="2" customFormat="1" x14ac:dyDescent="0.3">
      <c r="A27" s="64" t="s">
        <v>197</v>
      </c>
      <c r="B27" s="65">
        <v>46043</v>
      </c>
      <c r="C27" s="66">
        <v>1</v>
      </c>
      <c r="D27" s="66">
        <v>0</v>
      </c>
      <c r="E27" s="64" t="s">
        <v>93</v>
      </c>
      <c r="F27" s="64" t="s">
        <v>98</v>
      </c>
      <c r="G27" s="64" t="s">
        <v>7</v>
      </c>
      <c r="H27" s="64" t="s">
        <v>219</v>
      </c>
      <c r="I27" s="64" t="s">
        <v>20</v>
      </c>
      <c r="J27" s="64" t="s">
        <v>140</v>
      </c>
      <c r="K27" s="64" t="s">
        <v>22</v>
      </c>
    </row>
    <row r="28" spans="1:11" s="2" customFormat="1" x14ac:dyDescent="0.3">
      <c r="A28" s="64" t="s">
        <v>198</v>
      </c>
      <c r="B28" s="65">
        <v>46045</v>
      </c>
      <c r="C28" s="66">
        <v>1</v>
      </c>
      <c r="D28" s="66">
        <v>0</v>
      </c>
      <c r="E28" s="64" t="s">
        <v>199</v>
      </c>
      <c r="F28" s="64" t="s">
        <v>200</v>
      </c>
      <c r="G28" s="64" t="s">
        <v>7</v>
      </c>
      <c r="H28" s="64" t="s">
        <v>33</v>
      </c>
      <c r="I28" s="64" t="s">
        <v>20</v>
      </c>
      <c r="J28" s="64" t="s">
        <v>12</v>
      </c>
      <c r="K28" s="64" t="s">
        <v>24</v>
      </c>
    </row>
    <row r="29" spans="1:11" s="2" customFormat="1" x14ac:dyDescent="0.3">
      <c r="A29" s="64" t="s">
        <v>202</v>
      </c>
      <c r="B29" s="65">
        <v>46042</v>
      </c>
      <c r="C29" s="66">
        <v>1</v>
      </c>
      <c r="D29" s="66">
        <v>0</v>
      </c>
      <c r="E29" s="64" t="s">
        <v>54</v>
      </c>
      <c r="F29" s="64" t="s">
        <v>98</v>
      </c>
      <c r="G29" s="64" t="s">
        <v>7</v>
      </c>
      <c r="H29" s="64" t="s">
        <v>17</v>
      </c>
      <c r="I29" s="64" t="s">
        <v>9</v>
      </c>
      <c r="J29" s="64" t="s">
        <v>203</v>
      </c>
      <c r="K29" s="64" t="s">
        <v>19</v>
      </c>
    </row>
    <row r="30" spans="1:11" s="2" customFormat="1" x14ac:dyDescent="0.3">
      <c r="A30" s="64" t="s">
        <v>204</v>
      </c>
      <c r="B30" s="65">
        <v>46051</v>
      </c>
      <c r="C30" s="66">
        <v>1</v>
      </c>
      <c r="D30" s="66">
        <v>0</v>
      </c>
      <c r="E30" s="64" t="s">
        <v>205</v>
      </c>
      <c r="F30" s="64" t="s">
        <v>98</v>
      </c>
      <c r="G30" s="64" t="s">
        <v>7</v>
      </c>
      <c r="H30" s="64" t="s">
        <v>17</v>
      </c>
      <c r="I30" s="64" t="s">
        <v>9</v>
      </c>
      <c r="J30" s="64" t="s">
        <v>206</v>
      </c>
      <c r="K30" s="64" t="s">
        <v>13</v>
      </c>
    </row>
    <row r="31" spans="1:11" s="2" customFormat="1" x14ac:dyDescent="0.3">
      <c r="A31" s="64" t="s">
        <v>207</v>
      </c>
      <c r="B31" s="65">
        <v>46043</v>
      </c>
      <c r="C31" s="66">
        <v>1</v>
      </c>
      <c r="D31" s="66">
        <v>0</v>
      </c>
      <c r="E31" s="64" t="s">
        <v>208</v>
      </c>
      <c r="F31" s="64" t="s">
        <v>98</v>
      </c>
      <c r="G31" s="64" t="s">
        <v>7</v>
      </c>
      <c r="H31" s="64" t="s">
        <v>18</v>
      </c>
      <c r="I31" s="64" t="s">
        <v>56</v>
      </c>
      <c r="J31" s="64" t="s">
        <v>117</v>
      </c>
      <c r="K31" s="64" t="s">
        <v>13</v>
      </c>
    </row>
    <row r="32" spans="1:11" s="2" customFormat="1" x14ac:dyDescent="0.3">
      <c r="A32" s="64" t="s">
        <v>209</v>
      </c>
      <c r="B32" s="65">
        <v>46050</v>
      </c>
      <c r="C32" s="66">
        <v>1</v>
      </c>
      <c r="D32" s="66">
        <v>0</v>
      </c>
      <c r="E32" s="64" t="s">
        <v>210</v>
      </c>
      <c r="F32" s="64" t="s">
        <v>98</v>
      </c>
      <c r="G32" s="64" t="s">
        <v>7</v>
      </c>
      <c r="H32" s="64" t="s">
        <v>17</v>
      </c>
      <c r="I32" s="64" t="s">
        <v>9</v>
      </c>
      <c r="J32" s="64" t="s">
        <v>206</v>
      </c>
      <c r="K32" s="64" t="s">
        <v>13</v>
      </c>
    </row>
    <row r="33" spans="1:19" s="2" customFormat="1" x14ac:dyDescent="0.3">
      <c r="A33" s="64" t="s">
        <v>213</v>
      </c>
      <c r="B33" s="65">
        <v>46043</v>
      </c>
      <c r="C33" s="66">
        <v>2</v>
      </c>
      <c r="D33" s="66">
        <v>0</v>
      </c>
      <c r="E33" s="64" t="s">
        <v>214</v>
      </c>
      <c r="F33" s="64" t="s">
        <v>200</v>
      </c>
      <c r="G33" s="64" t="s">
        <v>7</v>
      </c>
      <c r="H33" s="64" t="s">
        <v>220</v>
      </c>
      <c r="I33" s="64" t="s">
        <v>20</v>
      </c>
      <c r="J33" s="64" t="s">
        <v>215</v>
      </c>
      <c r="K33" s="64" t="s">
        <v>216</v>
      </c>
    </row>
    <row r="34" spans="1:19" s="2" customFormat="1" x14ac:dyDescent="0.3">
      <c r="A34" s="64" t="s">
        <v>217</v>
      </c>
      <c r="B34" s="65">
        <v>46051</v>
      </c>
      <c r="C34" s="66">
        <v>1</v>
      </c>
      <c r="D34" s="66">
        <v>0</v>
      </c>
      <c r="E34" s="64" t="s">
        <v>218</v>
      </c>
      <c r="F34" s="64" t="s">
        <v>200</v>
      </c>
      <c r="G34" s="64" t="s">
        <v>7</v>
      </c>
      <c r="H34" s="64" t="s">
        <v>148</v>
      </c>
      <c r="I34" s="64" t="s">
        <v>9</v>
      </c>
      <c r="J34" s="64" t="s">
        <v>121</v>
      </c>
      <c r="K34" s="64" t="s">
        <v>13</v>
      </c>
    </row>
    <row r="35" spans="1:19" s="2" customFormat="1" x14ac:dyDescent="0.3">
      <c r="A35" s="64" t="s">
        <v>221</v>
      </c>
      <c r="B35" s="65">
        <v>46050</v>
      </c>
      <c r="C35" s="66">
        <v>2</v>
      </c>
      <c r="D35" s="66">
        <v>0</v>
      </c>
      <c r="E35" s="64" t="s">
        <v>201</v>
      </c>
      <c r="F35" s="64" t="s">
        <v>200</v>
      </c>
      <c r="G35" s="64" t="s">
        <v>7</v>
      </c>
      <c r="H35" s="64" t="s">
        <v>47</v>
      </c>
      <c r="I35" s="64" t="s">
        <v>9</v>
      </c>
      <c r="J35" s="64" t="s">
        <v>105</v>
      </c>
      <c r="K35" s="64" t="s">
        <v>43</v>
      </c>
    </row>
    <row r="36" spans="1:19" s="2" customFormat="1" x14ac:dyDescent="0.3">
      <c r="A36" s="64" t="s">
        <v>228</v>
      </c>
      <c r="B36" s="65">
        <v>46045</v>
      </c>
      <c r="C36" s="66">
        <v>1</v>
      </c>
      <c r="D36" s="66">
        <v>0</v>
      </c>
      <c r="E36" s="64" t="s">
        <v>30</v>
      </c>
      <c r="F36" s="64" t="s">
        <v>200</v>
      </c>
      <c r="G36" s="64" t="s">
        <v>7</v>
      </c>
      <c r="H36" s="64" t="s">
        <v>8</v>
      </c>
      <c r="I36" s="64" t="s">
        <v>9</v>
      </c>
      <c r="J36" s="64" t="s">
        <v>12</v>
      </c>
      <c r="K36" s="64" t="s">
        <v>24</v>
      </c>
    </row>
    <row r="37" spans="1:19" s="2" customFormat="1" ht="14.25" customHeight="1" x14ac:dyDescent="0.3">
      <c r="A37" s="64" t="s">
        <v>229</v>
      </c>
      <c r="B37" s="65">
        <v>46049</v>
      </c>
      <c r="C37" s="66">
        <v>3</v>
      </c>
      <c r="D37" s="66">
        <v>0</v>
      </c>
      <c r="E37" s="64" t="s">
        <v>45</v>
      </c>
      <c r="F37" s="64" t="s">
        <v>200</v>
      </c>
      <c r="G37" s="64" t="s">
        <v>7</v>
      </c>
      <c r="H37" s="64" t="s">
        <v>33</v>
      </c>
      <c r="I37" s="64" t="s">
        <v>20</v>
      </c>
      <c r="J37" s="64" t="s">
        <v>121</v>
      </c>
      <c r="K37" s="64" t="s">
        <v>13</v>
      </c>
    </row>
    <row r="38" spans="1:19" s="2" customFormat="1" ht="14.25" customHeight="1" x14ac:dyDescent="0.3">
      <c r="A38" s="64" t="s">
        <v>233</v>
      </c>
      <c r="B38" s="65">
        <v>46050</v>
      </c>
      <c r="C38" s="66">
        <v>3</v>
      </c>
      <c r="D38" s="66">
        <v>0</v>
      </c>
      <c r="E38" s="64" t="s">
        <v>63</v>
      </c>
      <c r="F38" s="64" t="s">
        <v>200</v>
      </c>
      <c r="G38" s="64" t="s">
        <v>7</v>
      </c>
      <c r="H38" s="64" t="s">
        <v>33</v>
      </c>
      <c r="I38" s="64" t="s">
        <v>20</v>
      </c>
      <c r="J38" s="64" t="s">
        <v>65</v>
      </c>
      <c r="K38" s="64" t="s">
        <v>48</v>
      </c>
    </row>
    <row r="39" spans="1:19" s="2" customFormat="1" ht="13.95" customHeight="1" x14ac:dyDescent="0.3">
      <c r="A39" s="64" t="s">
        <v>234</v>
      </c>
      <c r="B39" s="65">
        <v>46052</v>
      </c>
      <c r="C39" s="66">
        <v>30</v>
      </c>
      <c r="D39" s="66">
        <v>0</v>
      </c>
      <c r="E39" s="64" t="s">
        <v>45</v>
      </c>
      <c r="F39" s="64" t="s">
        <v>200</v>
      </c>
      <c r="G39" s="64" t="s">
        <v>7</v>
      </c>
      <c r="H39" s="64" t="s">
        <v>33</v>
      </c>
      <c r="I39" s="64" t="s">
        <v>20</v>
      </c>
      <c r="J39" s="64" t="s">
        <v>49</v>
      </c>
      <c r="K39" s="64" t="s">
        <v>91</v>
      </c>
    </row>
    <row r="40" spans="1:19" s="2" customFormat="1" ht="13.95" customHeight="1" x14ac:dyDescent="0.3">
      <c r="A40" s="64" t="s">
        <v>251</v>
      </c>
      <c r="B40" s="65">
        <v>46051</v>
      </c>
      <c r="C40" s="66">
        <v>1</v>
      </c>
      <c r="D40" s="66">
        <v>0</v>
      </c>
      <c r="E40" s="64" t="s">
        <v>193</v>
      </c>
      <c r="F40" s="64" t="s">
        <v>98</v>
      </c>
      <c r="G40" s="64" t="s">
        <v>7</v>
      </c>
      <c r="H40" s="64" t="s">
        <v>148</v>
      </c>
      <c r="I40" s="64" t="s">
        <v>9</v>
      </c>
      <c r="J40" s="64" t="s">
        <v>252</v>
      </c>
      <c r="K40" s="64" t="s">
        <v>48</v>
      </c>
    </row>
    <row r="41" spans="1:19" s="2" customFormat="1" ht="12" customHeight="1" x14ac:dyDescent="0.3">
      <c r="A41" s="64" t="s">
        <v>241</v>
      </c>
      <c r="B41" s="65">
        <v>46051</v>
      </c>
      <c r="C41" s="66">
        <v>1</v>
      </c>
      <c r="D41" s="66">
        <v>0</v>
      </c>
      <c r="E41" s="64" t="s">
        <v>147</v>
      </c>
      <c r="F41" s="64" t="s">
        <v>98</v>
      </c>
      <c r="G41" s="64" t="s">
        <v>7</v>
      </c>
      <c r="H41" s="64" t="s">
        <v>183</v>
      </c>
      <c r="I41" s="64" t="s">
        <v>20</v>
      </c>
      <c r="J41" s="64" t="s">
        <v>149</v>
      </c>
      <c r="K41" s="64" t="s">
        <v>242</v>
      </c>
    </row>
    <row r="42" spans="1:19" s="2" customFormat="1" ht="13.95" hidden="1" customHeight="1" x14ac:dyDescent="0.3">
      <c r="A42" s="43"/>
      <c r="B42" s="44"/>
      <c r="C42" s="45"/>
      <c r="D42" s="45"/>
      <c r="E42" s="43"/>
      <c r="F42" s="43"/>
      <c r="G42" s="43"/>
      <c r="H42" s="43"/>
      <c r="I42" s="43"/>
      <c r="J42" s="43"/>
      <c r="K42" s="43"/>
    </row>
    <row r="43" spans="1:19" s="2" customFormat="1" ht="14.25" hidden="1" customHeight="1" x14ac:dyDescent="0.3">
      <c r="A43" s="43"/>
      <c r="B43" s="44"/>
      <c r="C43" s="45"/>
      <c r="D43" s="45"/>
      <c r="E43" s="43"/>
      <c r="F43" s="43"/>
      <c r="G43" s="43"/>
      <c r="H43" s="43"/>
      <c r="I43" s="43"/>
      <c r="J43" s="43"/>
      <c r="K43" s="43"/>
    </row>
    <row r="44" spans="1:19" s="2" customFormat="1" ht="14.25" hidden="1" customHeight="1" x14ac:dyDescent="0.3">
      <c r="A44" s="43"/>
      <c r="B44" s="44"/>
      <c r="C44" s="45"/>
      <c r="D44" s="45"/>
      <c r="E44" s="43"/>
      <c r="F44" s="43"/>
      <c r="G44" s="43"/>
      <c r="H44" s="43"/>
      <c r="I44" s="43"/>
      <c r="J44" s="43"/>
      <c r="K44" s="43"/>
    </row>
    <row r="45" spans="1:19" ht="15" thickBot="1" x14ac:dyDescent="0.35">
      <c r="A45" s="40"/>
      <c r="B45" s="41"/>
      <c r="C45" s="42"/>
      <c r="D45" s="42"/>
      <c r="E45" s="40"/>
      <c r="F45" s="40"/>
      <c r="G45" s="40"/>
      <c r="H45" s="40"/>
      <c r="I45" s="40"/>
      <c r="J45" s="40"/>
      <c r="K45" s="40"/>
      <c r="P45" s="3"/>
      <c r="Q45" s="3"/>
      <c r="R45" s="4"/>
      <c r="S45" s="4"/>
    </row>
    <row r="46" spans="1:19" ht="15" thickBot="1" x14ac:dyDescent="0.35">
      <c r="B46" s="34" t="s">
        <v>31</v>
      </c>
      <c r="C46" s="12">
        <f>SUM(C4:C41)-SUM(D4:D41)</f>
        <v>82</v>
      </c>
      <c r="D46" s="29"/>
      <c r="F46" s="35" t="s">
        <v>57</v>
      </c>
      <c r="G46" s="36">
        <f>COUNTIF(I4:I41,"Pending")</f>
        <v>10</v>
      </c>
      <c r="I46" s="38" t="s">
        <v>58</v>
      </c>
      <c r="J46" s="39">
        <f>C46-G46</f>
        <v>72</v>
      </c>
    </row>
    <row r="47" spans="1:19" x14ac:dyDescent="0.3">
      <c r="G47" s="3"/>
      <c r="H47" s="4"/>
      <c r="I47" s="3"/>
    </row>
    <row r="48" spans="1:19" hidden="1" x14ac:dyDescent="0.3">
      <c r="D48" s="13"/>
    </row>
    <row r="49" spans="1:12" s="6" customFormat="1" ht="28.8" x14ac:dyDescent="0.3">
      <c r="A49" s="28" t="s">
        <v>0</v>
      </c>
      <c r="B49" s="28" t="s">
        <v>1</v>
      </c>
      <c r="C49" s="28" t="s">
        <v>2</v>
      </c>
      <c r="D49" s="28" t="s">
        <v>3</v>
      </c>
      <c r="E49" s="28" t="s">
        <v>4</v>
      </c>
      <c r="F49" s="28" t="s">
        <v>51</v>
      </c>
      <c r="G49" s="28" t="s">
        <v>52</v>
      </c>
      <c r="H49" s="28" t="s">
        <v>5</v>
      </c>
      <c r="I49" s="28" t="s">
        <v>53</v>
      </c>
      <c r="J49" s="28" t="s">
        <v>27</v>
      </c>
      <c r="K49" s="28" t="s">
        <v>6</v>
      </c>
    </row>
    <row r="50" spans="1:12" s="14" customFormat="1" x14ac:dyDescent="0.3">
      <c r="A50" s="19" t="s">
        <v>170</v>
      </c>
      <c r="B50" s="20">
        <v>46013</v>
      </c>
      <c r="C50" s="21">
        <v>1</v>
      </c>
      <c r="D50" s="21">
        <v>0</v>
      </c>
      <c r="E50" s="19" t="s">
        <v>171</v>
      </c>
      <c r="F50" s="59" t="s">
        <v>131</v>
      </c>
      <c r="G50" s="19" t="s">
        <v>32</v>
      </c>
      <c r="H50" s="19" t="s">
        <v>148</v>
      </c>
      <c r="I50" s="19" t="s">
        <v>20</v>
      </c>
      <c r="J50" s="19" t="s">
        <v>105</v>
      </c>
      <c r="K50" s="19" t="s">
        <v>19</v>
      </c>
    </row>
    <row r="51" spans="1:12" s="14" customFormat="1" hidden="1" x14ac:dyDescent="0.3">
      <c r="A51" s="7"/>
      <c r="B51" s="8"/>
      <c r="C51" s="9"/>
      <c r="D51" s="9"/>
      <c r="E51" s="7"/>
      <c r="F51" s="7"/>
      <c r="G51" s="7"/>
      <c r="H51" s="7"/>
      <c r="I51" s="7"/>
      <c r="J51" s="7"/>
      <c r="K51" s="7"/>
    </row>
    <row r="52" spans="1:12" s="14" customFormat="1" ht="15" hidden="1" customHeight="1" x14ac:dyDescent="0.3">
      <c r="A52" s="7"/>
      <c r="B52" s="8"/>
      <c r="C52" s="9"/>
      <c r="D52" s="9"/>
      <c r="E52" s="7"/>
      <c r="F52" s="7"/>
      <c r="G52" s="7"/>
      <c r="H52" s="7"/>
      <c r="I52" s="7"/>
      <c r="J52" s="7"/>
      <c r="K52" s="31"/>
    </row>
    <row r="53" spans="1:12" s="14" customFormat="1" ht="15" hidden="1" customHeight="1" x14ac:dyDescent="0.3">
      <c r="A53" s="15"/>
      <c r="B53" s="16"/>
      <c r="C53" s="17"/>
      <c r="D53" s="17"/>
      <c r="E53" s="15"/>
      <c r="F53" s="15"/>
      <c r="G53" s="15"/>
      <c r="H53" s="15"/>
      <c r="I53" s="15"/>
      <c r="J53" s="15"/>
      <c r="K53" s="31"/>
    </row>
    <row r="54" spans="1:12" s="18" customFormat="1" ht="15" hidden="1" customHeight="1" x14ac:dyDescent="0.3">
      <c r="A54" s="15"/>
      <c r="B54" s="16"/>
      <c r="C54" s="17"/>
      <c r="D54" s="17"/>
      <c r="E54" s="15"/>
      <c r="F54" s="15"/>
      <c r="G54" s="15"/>
      <c r="H54" s="15"/>
      <c r="I54" s="15"/>
      <c r="J54" s="15"/>
      <c r="K54" s="32"/>
    </row>
    <row r="55" spans="1:12" s="18" customFormat="1" ht="15" hidden="1" customHeight="1" x14ac:dyDescent="0.3">
      <c r="A55" s="19"/>
      <c r="B55" s="20"/>
      <c r="C55" s="21"/>
      <c r="D55" s="21"/>
      <c r="E55" s="19"/>
      <c r="F55" s="19"/>
      <c r="G55" s="19"/>
      <c r="H55" s="19"/>
      <c r="I55" s="19"/>
      <c r="J55" s="19"/>
      <c r="K55" s="32"/>
    </row>
    <row r="56" spans="1:12" s="18" customFormat="1" ht="15" hidden="1" customHeight="1" x14ac:dyDescent="0.3">
      <c r="A56" s="19"/>
      <c r="B56" s="20"/>
      <c r="C56" s="21"/>
      <c r="D56" s="21"/>
      <c r="E56" s="19"/>
      <c r="F56" s="19"/>
      <c r="G56" s="19"/>
      <c r="H56" s="19"/>
      <c r="I56" s="19"/>
      <c r="J56" s="19"/>
      <c r="K56" s="32"/>
    </row>
    <row r="57" spans="1:12" s="18" customFormat="1" ht="15" hidden="1" customHeight="1" x14ac:dyDescent="0.3">
      <c r="A57" s="19"/>
      <c r="B57" s="20"/>
      <c r="C57" s="21"/>
      <c r="D57" s="21"/>
      <c r="E57" s="19"/>
      <c r="F57" s="19"/>
      <c r="G57" s="19"/>
      <c r="H57" s="19"/>
      <c r="I57" s="19"/>
      <c r="J57" s="19"/>
      <c r="K57" s="32"/>
    </row>
    <row r="58" spans="1:12" s="18" customFormat="1" ht="15" hidden="1" customHeight="1" x14ac:dyDescent="0.3">
      <c r="A58" s="47"/>
      <c r="B58" s="48"/>
      <c r="C58" s="49"/>
      <c r="D58" s="49"/>
      <c r="E58" s="47"/>
      <c r="F58" s="47"/>
      <c r="G58" s="47"/>
      <c r="H58" s="47"/>
      <c r="I58" s="47"/>
      <c r="J58" s="47"/>
      <c r="K58" s="50"/>
    </row>
    <row r="59" spans="1:12" ht="15" thickBot="1" x14ac:dyDescent="0.35">
      <c r="A59" s="51"/>
      <c r="B59" s="52"/>
      <c r="C59" s="53"/>
      <c r="D59" s="53"/>
      <c r="E59" s="51"/>
      <c r="F59" s="51"/>
      <c r="G59" s="51"/>
      <c r="H59" s="51"/>
      <c r="I59" s="51"/>
      <c r="J59" s="51"/>
      <c r="K59" s="2"/>
    </row>
    <row r="60" spans="1:12" ht="15" thickBot="1" x14ac:dyDescent="0.35">
      <c r="B60" s="60" t="s">
        <v>34</v>
      </c>
      <c r="C60" s="61">
        <f>SUM(C50:C51)-SUM(D50:D51)</f>
        <v>1</v>
      </c>
      <c r="E60" s="2"/>
      <c r="F60" s="2"/>
      <c r="H60" s="2"/>
      <c r="J60" s="2"/>
      <c r="K60" s="2"/>
    </row>
    <row r="61" spans="1:12" x14ac:dyDescent="0.3">
      <c r="E61" s="2"/>
      <c r="F61" s="2"/>
      <c r="H61" s="2"/>
      <c r="J61" s="2"/>
      <c r="K61" s="2"/>
    </row>
    <row r="62" spans="1:12" hidden="1" x14ac:dyDescent="0.3">
      <c r="E62" s="2"/>
      <c r="F62" s="2"/>
      <c r="H62" s="2"/>
      <c r="J62" s="2"/>
      <c r="K62" s="2"/>
    </row>
    <row r="63" spans="1:12" s="2" customFormat="1" ht="34.35" customHeight="1" x14ac:dyDescent="0.3">
      <c r="A63" s="62" t="s">
        <v>0</v>
      </c>
      <c r="B63" s="62" t="s">
        <v>1</v>
      </c>
      <c r="C63" s="62" t="s">
        <v>2</v>
      </c>
      <c r="D63" s="62" t="s">
        <v>3</v>
      </c>
      <c r="E63" s="62" t="s">
        <v>4</v>
      </c>
      <c r="F63" s="62" t="s">
        <v>51</v>
      </c>
      <c r="G63" s="62" t="s">
        <v>52</v>
      </c>
      <c r="H63" s="62" t="s">
        <v>5</v>
      </c>
      <c r="I63" s="62" t="s">
        <v>53</v>
      </c>
      <c r="J63" s="62" t="s">
        <v>27</v>
      </c>
      <c r="K63" s="62" t="s">
        <v>6</v>
      </c>
    </row>
    <row r="64" spans="1:12" x14ac:dyDescent="0.3">
      <c r="A64" s="64" t="s">
        <v>163</v>
      </c>
      <c r="B64" s="65">
        <v>46050</v>
      </c>
      <c r="C64" s="66">
        <v>1</v>
      </c>
      <c r="D64" s="66">
        <v>0</v>
      </c>
      <c r="E64" s="64" t="s">
        <v>164</v>
      </c>
      <c r="F64" s="64" t="s">
        <v>98</v>
      </c>
      <c r="G64" s="64" t="s">
        <v>55</v>
      </c>
      <c r="H64" s="64" t="s">
        <v>17</v>
      </c>
      <c r="I64" s="64" t="s">
        <v>20</v>
      </c>
      <c r="J64" s="64" t="s">
        <v>165</v>
      </c>
      <c r="K64" s="64" t="s">
        <v>13</v>
      </c>
      <c r="L64" s="63"/>
    </row>
    <row r="65" spans="1:29" x14ac:dyDescent="0.3">
      <c r="A65" s="64" t="s">
        <v>222</v>
      </c>
      <c r="B65" s="65">
        <v>46042</v>
      </c>
      <c r="C65" s="66">
        <v>1</v>
      </c>
      <c r="D65" s="66">
        <v>0</v>
      </c>
      <c r="E65" s="64" t="s">
        <v>223</v>
      </c>
      <c r="F65" s="64" t="s">
        <v>200</v>
      </c>
      <c r="G65" s="64" t="s">
        <v>55</v>
      </c>
      <c r="H65" s="64" t="s">
        <v>33</v>
      </c>
      <c r="I65" s="64" t="s">
        <v>20</v>
      </c>
      <c r="J65" s="64" t="s">
        <v>180</v>
      </c>
      <c r="K65" s="64" t="s">
        <v>13</v>
      </c>
      <c r="L65" s="63"/>
    </row>
    <row r="66" spans="1:29" x14ac:dyDescent="0.3">
      <c r="A66" s="64" t="s">
        <v>224</v>
      </c>
      <c r="B66" s="65">
        <v>46043</v>
      </c>
      <c r="C66" s="66">
        <v>1</v>
      </c>
      <c r="D66" s="66">
        <v>0</v>
      </c>
      <c r="E66" s="64" t="s">
        <v>225</v>
      </c>
      <c r="F66" s="64" t="s">
        <v>200</v>
      </c>
      <c r="G66" s="64" t="s">
        <v>55</v>
      </c>
      <c r="H66" s="64" t="s">
        <v>33</v>
      </c>
      <c r="I66" s="64" t="s">
        <v>20</v>
      </c>
      <c r="J66" s="64" t="s">
        <v>180</v>
      </c>
      <c r="K66" s="64" t="s">
        <v>13</v>
      </c>
      <c r="L66" s="63"/>
    </row>
    <row r="67" spans="1:29" x14ac:dyDescent="0.3">
      <c r="A67" s="64" t="s">
        <v>226</v>
      </c>
      <c r="B67" s="65">
        <v>46043</v>
      </c>
      <c r="C67" s="66">
        <v>2</v>
      </c>
      <c r="D67" s="66">
        <v>0</v>
      </c>
      <c r="E67" s="64" t="s">
        <v>227</v>
      </c>
      <c r="F67" s="64" t="s">
        <v>200</v>
      </c>
      <c r="G67" s="64" t="s">
        <v>55</v>
      </c>
      <c r="H67" s="64" t="s">
        <v>33</v>
      </c>
      <c r="I67" s="64" t="s">
        <v>20</v>
      </c>
      <c r="J67" s="64" t="s">
        <v>180</v>
      </c>
      <c r="K67" s="64" t="s">
        <v>13</v>
      </c>
      <c r="L67" s="63"/>
    </row>
    <row r="68" spans="1:29" x14ac:dyDescent="0.3">
      <c r="A68" s="64" t="s">
        <v>230</v>
      </c>
      <c r="B68" s="65">
        <v>46044</v>
      </c>
      <c r="C68" s="66">
        <v>1</v>
      </c>
      <c r="D68" s="66">
        <v>0</v>
      </c>
      <c r="E68" s="64" t="s">
        <v>166</v>
      </c>
      <c r="F68" s="64" t="s">
        <v>200</v>
      </c>
      <c r="G68" s="64" t="s">
        <v>55</v>
      </c>
      <c r="H68" s="64" t="s">
        <v>33</v>
      </c>
      <c r="I68" s="64" t="s">
        <v>20</v>
      </c>
      <c r="J68" s="64" t="s">
        <v>166</v>
      </c>
      <c r="K68" s="64" t="s">
        <v>24</v>
      </c>
      <c r="L68" s="63"/>
    </row>
    <row r="69" spans="1:29" x14ac:dyDescent="0.3">
      <c r="A69" s="64" t="s">
        <v>237</v>
      </c>
      <c r="B69" s="65">
        <v>46048</v>
      </c>
      <c r="C69" s="66">
        <v>1</v>
      </c>
      <c r="D69" s="66">
        <v>0</v>
      </c>
      <c r="E69" s="64" t="s">
        <v>238</v>
      </c>
      <c r="F69" s="64" t="s">
        <v>200</v>
      </c>
      <c r="G69" s="64" t="s">
        <v>55</v>
      </c>
      <c r="H69" s="64" t="s">
        <v>8</v>
      </c>
      <c r="I69" s="64" t="s">
        <v>20</v>
      </c>
      <c r="J69" s="64" t="s">
        <v>12</v>
      </c>
      <c r="K69" s="64" t="s">
        <v>13</v>
      </c>
      <c r="L69" s="63"/>
    </row>
    <row r="70" spans="1:29" x14ac:dyDescent="0.3">
      <c r="A70" s="64" t="s">
        <v>243</v>
      </c>
      <c r="B70" s="65">
        <v>46050</v>
      </c>
      <c r="C70" s="66">
        <v>1</v>
      </c>
      <c r="D70" s="66">
        <v>0</v>
      </c>
      <c r="E70" s="64" t="s">
        <v>244</v>
      </c>
      <c r="F70" s="64" t="s">
        <v>200</v>
      </c>
      <c r="G70" s="64" t="s">
        <v>55</v>
      </c>
      <c r="H70" s="64" t="s">
        <v>102</v>
      </c>
      <c r="I70" s="64" t="s">
        <v>20</v>
      </c>
      <c r="J70" s="64" t="s">
        <v>103</v>
      </c>
      <c r="K70" s="64" t="s">
        <v>21</v>
      </c>
      <c r="L70" s="63"/>
    </row>
    <row r="71" spans="1:29" x14ac:dyDescent="0.3">
      <c r="A71" s="64" t="s">
        <v>245</v>
      </c>
      <c r="B71" s="65">
        <v>46050</v>
      </c>
      <c r="C71" s="66">
        <v>1</v>
      </c>
      <c r="D71" s="66">
        <v>0</v>
      </c>
      <c r="E71" s="64" t="s">
        <v>46</v>
      </c>
      <c r="F71" s="64" t="s">
        <v>200</v>
      </c>
      <c r="G71" s="64" t="s">
        <v>55</v>
      </c>
      <c r="H71" s="64" t="s">
        <v>33</v>
      </c>
      <c r="I71" s="64" t="s">
        <v>20</v>
      </c>
      <c r="J71" s="64" t="s">
        <v>49</v>
      </c>
      <c r="K71" s="64" t="s">
        <v>91</v>
      </c>
      <c r="L71" s="63"/>
    </row>
    <row r="72" spans="1:29" s="2" customFormat="1" x14ac:dyDescent="0.3">
      <c r="A72" s="64" t="s">
        <v>246</v>
      </c>
      <c r="B72" s="65">
        <v>46050</v>
      </c>
      <c r="C72" s="66">
        <v>1</v>
      </c>
      <c r="D72" s="66">
        <v>0</v>
      </c>
      <c r="E72" s="64" t="s">
        <v>232</v>
      </c>
      <c r="F72" s="64" t="s">
        <v>200</v>
      </c>
      <c r="G72" s="64" t="s">
        <v>55</v>
      </c>
      <c r="H72" s="64" t="s">
        <v>33</v>
      </c>
      <c r="I72" s="64" t="s">
        <v>20</v>
      </c>
      <c r="J72" s="64" t="s">
        <v>65</v>
      </c>
      <c r="K72" s="64" t="s">
        <v>48</v>
      </c>
      <c r="L72" s="63"/>
      <c r="M72" s="4"/>
      <c r="N72" s="4"/>
      <c r="O72" s="4"/>
      <c r="P72" s="4"/>
      <c r="Q72" s="4"/>
      <c r="R72" s="3"/>
      <c r="S72" s="3"/>
      <c r="T72" s="4"/>
      <c r="U72" s="4"/>
      <c r="V72" s="4"/>
      <c r="W72" s="4"/>
      <c r="X72" s="4"/>
      <c r="Y72" s="4"/>
      <c r="Z72" s="4"/>
      <c r="AA72" s="4"/>
      <c r="AB72" s="4"/>
      <c r="AC72" s="4"/>
    </row>
    <row r="73" spans="1:29" s="2" customFormat="1" x14ac:dyDescent="0.3">
      <c r="A73" s="64" t="s">
        <v>247</v>
      </c>
      <c r="B73" s="65">
        <v>46050</v>
      </c>
      <c r="C73" s="66">
        <v>1</v>
      </c>
      <c r="D73" s="66">
        <v>0</v>
      </c>
      <c r="E73" s="64" t="s">
        <v>120</v>
      </c>
      <c r="F73" s="64" t="s">
        <v>98</v>
      </c>
      <c r="G73" s="64" t="s">
        <v>55</v>
      </c>
      <c r="H73" s="64" t="s">
        <v>33</v>
      </c>
      <c r="I73" s="64" t="s">
        <v>20</v>
      </c>
      <c r="J73" s="64" t="s">
        <v>248</v>
      </c>
      <c r="K73" s="64" t="s">
        <v>43</v>
      </c>
      <c r="L73" s="63"/>
      <c r="M73" s="4"/>
      <c r="N73" s="4"/>
      <c r="O73" s="4"/>
      <c r="P73" s="4"/>
      <c r="Q73" s="4"/>
      <c r="R73" s="3"/>
      <c r="S73" s="3"/>
      <c r="T73" s="4"/>
      <c r="U73" s="4"/>
      <c r="V73" s="4"/>
      <c r="W73" s="4"/>
      <c r="X73" s="4"/>
      <c r="Y73" s="4"/>
      <c r="Z73" s="4"/>
      <c r="AA73" s="4"/>
      <c r="AB73" s="4"/>
      <c r="AC73" s="4"/>
    </row>
    <row r="74" spans="1:29" s="2" customFormat="1" x14ac:dyDescent="0.3">
      <c r="A74" s="64" t="s">
        <v>249</v>
      </c>
      <c r="B74" s="65">
        <v>46050</v>
      </c>
      <c r="C74" s="66">
        <v>2</v>
      </c>
      <c r="D74" s="66">
        <v>0</v>
      </c>
      <c r="E74" s="64" t="s">
        <v>45</v>
      </c>
      <c r="F74" s="64" t="s">
        <v>98</v>
      </c>
      <c r="G74" s="64" t="s">
        <v>55</v>
      </c>
      <c r="H74" s="64" t="s">
        <v>139</v>
      </c>
      <c r="I74" s="64" t="s">
        <v>20</v>
      </c>
      <c r="J74" s="64" t="s">
        <v>33</v>
      </c>
      <c r="K74" s="64" t="s">
        <v>250</v>
      </c>
      <c r="L74" s="63"/>
      <c r="M74" s="4"/>
      <c r="N74" s="4"/>
      <c r="O74" s="4"/>
      <c r="P74" s="4"/>
      <c r="Q74" s="4"/>
      <c r="R74" s="3"/>
      <c r="S74" s="3"/>
      <c r="T74" s="4"/>
      <c r="U74" s="4"/>
      <c r="V74" s="4"/>
      <c r="W74" s="4"/>
      <c r="X74" s="4"/>
      <c r="Y74" s="4"/>
      <c r="Z74" s="4"/>
      <c r="AA74" s="4"/>
      <c r="AB74" s="4"/>
      <c r="AC74" s="4"/>
    </row>
    <row r="75" spans="1:29" s="2" customFormat="1" x14ac:dyDescent="0.3">
      <c r="A75" s="64" t="s">
        <v>253</v>
      </c>
      <c r="B75" s="65">
        <v>46051</v>
      </c>
      <c r="C75" s="66">
        <v>1</v>
      </c>
      <c r="D75" s="66">
        <v>0</v>
      </c>
      <c r="E75" s="64" t="s">
        <v>244</v>
      </c>
      <c r="F75" s="64" t="s">
        <v>98</v>
      </c>
      <c r="G75" s="64" t="s">
        <v>55</v>
      </c>
      <c r="H75" s="64" t="s">
        <v>33</v>
      </c>
      <c r="I75" s="64" t="s">
        <v>20</v>
      </c>
      <c r="J75" s="64" t="s">
        <v>103</v>
      </c>
      <c r="K75" s="64" t="s">
        <v>21</v>
      </c>
      <c r="L75" s="63"/>
      <c r="M75" s="4"/>
      <c r="N75" s="4"/>
      <c r="O75" s="4"/>
      <c r="P75" s="4"/>
      <c r="Q75" s="4"/>
      <c r="R75" s="3"/>
      <c r="S75" s="3"/>
      <c r="T75" s="4"/>
      <c r="U75" s="4"/>
      <c r="V75" s="4"/>
      <c r="W75" s="4"/>
      <c r="X75" s="4"/>
      <c r="Y75" s="4"/>
      <c r="Z75" s="4"/>
      <c r="AA75" s="4"/>
      <c r="AB75" s="4"/>
      <c r="AC75" s="4"/>
    </row>
    <row r="76" spans="1:29" s="2" customFormat="1" x14ac:dyDescent="0.3">
      <c r="A76" s="64" t="s">
        <v>254</v>
      </c>
      <c r="B76" s="65">
        <v>46051</v>
      </c>
      <c r="C76" s="66">
        <v>1</v>
      </c>
      <c r="D76" s="66">
        <v>0</v>
      </c>
      <c r="E76" s="64" t="s">
        <v>101</v>
      </c>
      <c r="F76" s="64" t="s">
        <v>98</v>
      </c>
      <c r="G76" s="64" t="s">
        <v>55</v>
      </c>
      <c r="H76" s="64" t="s">
        <v>33</v>
      </c>
      <c r="I76" s="64" t="s">
        <v>20</v>
      </c>
      <c r="J76" s="64" t="s">
        <v>103</v>
      </c>
      <c r="K76" s="64" t="s">
        <v>21</v>
      </c>
      <c r="L76" s="63"/>
      <c r="M76" s="4"/>
      <c r="N76" s="4"/>
      <c r="O76" s="4"/>
      <c r="P76" s="4"/>
      <c r="Q76" s="4"/>
      <c r="R76" s="3"/>
      <c r="S76" s="3"/>
      <c r="T76" s="4"/>
      <c r="U76" s="4"/>
      <c r="V76" s="4"/>
      <c r="W76" s="4"/>
      <c r="X76" s="4"/>
      <c r="Y76" s="4"/>
      <c r="Z76" s="4"/>
      <c r="AA76" s="4"/>
      <c r="AB76" s="4"/>
      <c r="AC76" s="4"/>
    </row>
    <row r="77" spans="1:29" s="2" customFormat="1" x14ac:dyDescent="0.3">
      <c r="A77" s="64" t="s">
        <v>255</v>
      </c>
      <c r="B77" s="65">
        <v>46051</v>
      </c>
      <c r="C77" s="66">
        <v>1</v>
      </c>
      <c r="D77" s="66">
        <v>0</v>
      </c>
      <c r="E77" s="64" t="s">
        <v>256</v>
      </c>
      <c r="F77" s="64" t="s">
        <v>98</v>
      </c>
      <c r="G77" s="64" t="s">
        <v>55</v>
      </c>
      <c r="H77" s="64" t="s">
        <v>33</v>
      </c>
      <c r="I77" s="64" t="s">
        <v>20</v>
      </c>
      <c r="J77" s="64" t="s">
        <v>134</v>
      </c>
      <c r="K77" s="64" t="s">
        <v>13</v>
      </c>
      <c r="L77" s="4"/>
      <c r="M77" s="4"/>
      <c r="N77" s="4"/>
      <c r="O77" s="4"/>
      <c r="P77" s="4"/>
      <c r="Q77" s="4"/>
      <c r="R77" s="3"/>
      <c r="S77" s="3"/>
      <c r="T77" s="4"/>
      <c r="U77" s="4"/>
      <c r="V77" s="4"/>
      <c r="W77" s="4"/>
      <c r="X77" s="4"/>
      <c r="Y77" s="4"/>
      <c r="Z77" s="4"/>
      <c r="AA77" s="4"/>
      <c r="AB77" s="4"/>
      <c r="AC77" s="4"/>
    </row>
    <row r="78" spans="1:29" s="2" customFormat="1" x14ac:dyDescent="0.3">
      <c r="A78" s="64" t="s">
        <v>257</v>
      </c>
      <c r="B78" s="65">
        <v>46052</v>
      </c>
      <c r="C78" s="66">
        <v>1</v>
      </c>
      <c r="D78" s="66">
        <v>0</v>
      </c>
      <c r="E78" s="64" t="s">
        <v>258</v>
      </c>
      <c r="F78" s="64" t="s">
        <v>98</v>
      </c>
      <c r="G78" s="64" t="s">
        <v>55</v>
      </c>
      <c r="H78" s="64" t="s">
        <v>33</v>
      </c>
      <c r="I78" s="64" t="s">
        <v>20</v>
      </c>
      <c r="J78" s="64" t="s">
        <v>134</v>
      </c>
      <c r="K78" s="64" t="s">
        <v>13</v>
      </c>
      <c r="L78" s="4"/>
      <c r="M78" s="4"/>
      <c r="N78" s="4"/>
      <c r="O78" s="4"/>
      <c r="P78" s="4"/>
      <c r="Q78" s="4"/>
      <c r="R78" s="3"/>
      <c r="S78" s="3"/>
      <c r="T78" s="4"/>
      <c r="U78" s="4"/>
      <c r="V78" s="4"/>
      <c r="W78" s="4"/>
      <c r="X78" s="4"/>
      <c r="Y78" s="4"/>
      <c r="Z78" s="4"/>
      <c r="AA78" s="4"/>
      <c r="AB78" s="4"/>
      <c r="AC78" s="4"/>
    </row>
    <row r="79" spans="1:29" s="2" customFormat="1" hidden="1" x14ac:dyDescent="0.3">
      <c r="A79" s="19"/>
      <c r="B79" s="20"/>
      <c r="C79" s="21"/>
      <c r="D79" s="21"/>
      <c r="E79" s="19"/>
      <c r="F79" s="19"/>
      <c r="G79" s="19"/>
      <c r="H79" s="19"/>
      <c r="I79" s="19"/>
      <c r="J79" s="19"/>
      <c r="K79" s="19"/>
      <c r="L79" s="4"/>
      <c r="M79" s="4"/>
      <c r="N79" s="4"/>
      <c r="O79" s="4"/>
      <c r="P79" s="4"/>
      <c r="Q79" s="4"/>
      <c r="R79" s="3"/>
      <c r="S79" s="3"/>
      <c r="T79" s="4"/>
      <c r="U79" s="4"/>
      <c r="V79" s="4"/>
      <c r="W79" s="4"/>
      <c r="X79" s="4"/>
      <c r="Y79" s="4"/>
      <c r="Z79" s="4"/>
      <c r="AA79" s="4"/>
      <c r="AB79" s="4"/>
      <c r="AC79" s="4"/>
    </row>
    <row r="80" spans="1:29" s="2" customFormat="1" hidden="1" x14ac:dyDescent="0.3">
      <c r="A80" s="19"/>
      <c r="B80" s="20"/>
      <c r="C80" s="21"/>
      <c r="D80" s="21"/>
      <c r="E80" s="19"/>
      <c r="F80" s="19"/>
      <c r="G80" s="19"/>
      <c r="H80" s="19"/>
      <c r="I80" s="19"/>
      <c r="J80" s="19"/>
      <c r="K80" s="19"/>
      <c r="L80" s="4"/>
      <c r="M80" s="4"/>
      <c r="N80" s="4"/>
      <c r="O80" s="4"/>
      <c r="P80" s="4"/>
      <c r="Q80" s="4"/>
      <c r="R80" s="3"/>
      <c r="S80" s="3"/>
      <c r="T80" s="4"/>
      <c r="U80" s="4"/>
      <c r="V80" s="4"/>
      <c r="W80" s="4"/>
      <c r="X80" s="4"/>
      <c r="Y80" s="4"/>
      <c r="Z80" s="4"/>
      <c r="AA80" s="4"/>
      <c r="AB80" s="4"/>
      <c r="AC80" s="4"/>
    </row>
    <row r="81" spans="1:29" s="2" customFormat="1" ht="15" thickBot="1" x14ac:dyDescent="0.35">
      <c r="A81" s="51"/>
      <c r="B81" s="52"/>
      <c r="C81" s="53"/>
      <c r="D81" s="53"/>
      <c r="E81" s="51"/>
      <c r="F81" s="51"/>
      <c r="G81" s="51"/>
      <c r="H81" s="51"/>
      <c r="I81" s="51"/>
      <c r="J81" s="51"/>
      <c r="K81" s="51"/>
      <c r="L81" s="4"/>
      <c r="M81" s="4"/>
      <c r="N81" s="4"/>
      <c r="O81" s="4"/>
      <c r="P81" s="4"/>
      <c r="Q81" s="4"/>
      <c r="R81" s="3"/>
      <c r="S81" s="3"/>
      <c r="T81" s="4"/>
      <c r="U81" s="4"/>
      <c r="V81" s="4"/>
      <c r="W81" s="4"/>
      <c r="X81" s="4"/>
      <c r="Y81" s="4"/>
      <c r="Z81" s="4"/>
      <c r="AA81" s="4"/>
      <c r="AB81" s="4"/>
      <c r="AC81" s="4"/>
    </row>
    <row r="82" spans="1:29" ht="15" thickBot="1" x14ac:dyDescent="0.35">
      <c r="B82" s="38" t="s">
        <v>35</v>
      </c>
      <c r="C82" s="22">
        <f>SUM(C64:C78)-SUM(D64:D78)</f>
        <v>17</v>
      </c>
    </row>
  </sheetData>
  <autoFilter ref="A3:J38" xr:uid="{6E392464-0CD5-4B6C-9B5A-A4EF4B03C567}"/>
  <conditionalFormatting sqref="F1:F44 F47:F1048576">
    <cfRule type="cellIs" dxfId="333" priority="1" operator="equal">
      <formula>"Non-Billable"</formula>
    </cfRule>
    <cfRule type="cellIs" dxfId="332" priority="2" operator="equal">
      <formula>"Billable"</formula>
    </cfRule>
  </conditionalFormatting>
  <conditionalFormatting sqref="F45">
    <cfRule type="cellIs" dxfId="331" priority="10" operator="equal">
      <formula>"Not Accepting Application"</formula>
    </cfRule>
    <cfRule type="cellIs" dxfId="330" priority="11" operator="equal">
      <formula>"Y"</formula>
    </cfRule>
  </conditionalFormatting>
  <conditionalFormatting sqref="H1:H2 H4:H44 F45 H46:H48 H50:H62 H64:H1048576">
    <cfRule type="cellIs" dxfId="329" priority="8" operator="equal">
      <formula>"Not accpeting applications"</formula>
    </cfRule>
  </conditionalFormatting>
  <conditionalFormatting sqref="H1:H2 H4:H44 H46:H48 H50:H62 AG64:AG82 H64:H1048576">
    <cfRule type="cellIs" dxfId="328" priority="6" operator="equal">
      <formula>"Not Accepting Applications"</formula>
    </cfRule>
  </conditionalFormatting>
  <conditionalFormatting sqref="H4:H44">
    <cfRule type="cellIs" dxfId="327" priority="9" operator="equal">
      <formula>"Accepting Applications"</formula>
    </cfRule>
  </conditionalFormatting>
  <conditionalFormatting sqref="H50:H52">
    <cfRule type="cellIs" dxfId="326" priority="7" operator="equal">
      <formula>"Not accepting applications"</formula>
    </cfRule>
  </conditionalFormatting>
  <conditionalFormatting sqref="H54:H58">
    <cfRule type="cellIs" dxfId="325" priority="12" operator="equal">
      <formula>"Not Accepting Application"</formula>
    </cfRule>
    <cfRule type="cellIs" dxfId="324" priority="13" operator="equal">
      <formula>"Accepting Applications"</formula>
    </cfRule>
    <cfRule type="cellIs" dxfId="323" priority="14" operator="equal">
      <formula>"Y"</formula>
    </cfRule>
  </conditionalFormatting>
  <conditionalFormatting sqref="I1:I44 F45:G45 I47:I1048576">
    <cfRule type="cellIs" dxfId="322" priority="4" operator="equal">
      <formula>"Accepting Applications"</formula>
    </cfRule>
    <cfRule type="cellIs" dxfId="321" priority="5" operator="equal">
      <formula>"Not Accepting Applications"</formula>
    </cfRule>
  </conditionalFormatting>
  <conditionalFormatting sqref="I1:I44 G45 I47:I1048576">
    <cfRule type="cellIs" dxfId="320" priority="3" operator="equal">
      <formula>"Pending"</formula>
    </cfRule>
  </conditionalFormatting>
  <pageMargins left="0.7" right="0.7" top="0.75" bottom="0.75" header="0.3" footer="0.3"/>
  <pageSetup orientation="landscape" horizontalDpi="4294967295" verticalDpi="4294967295"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6B0F1-2830-4140-B952-7A4BBC183C46}">
  <sheetPr>
    <tabColor theme="2" tint="-0.499984740745262"/>
  </sheetPr>
  <dimension ref="A1:AC82"/>
  <sheetViews>
    <sheetView showGridLines="0" topLeftCell="A29" zoomScale="90" zoomScaleNormal="90" workbookViewId="0">
      <selection activeCell="H39" sqref="H39"/>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0.33333333333333331</v>
      </c>
      <c r="B1" s="37">
        <v>46051</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19" t="s">
        <v>59</v>
      </c>
      <c r="B4" s="20">
        <v>46043</v>
      </c>
      <c r="C4" s="21">
        <v>5</v>
      </c>
      <c r="D4" s="21">
        <v>4</v>
      </c>
      <c r="E4" s="19" t="s">
        <v>46</v>
      </c>
      <c r="F4" s="19" t="s">
        <v>200</v>
      </c>
      <c r="G4" s="19" t="s">
        <v>7</v>
      </c>
      <c r="H4" s="19" t="s">
        <v>18</v>
      </c>
      <c r="I4" s="58" t="s">
        <v>56</v>
      </c>
      <c r="J4" s="19" t="s">
        <v>49</v>
      </c>
      <c r="K4" s="19" t="s">
        <v>48</v>
      </c>
      <c r="AB4" s="2" t="s">
        <v>10</v>
      </c>
      <c r="AC4" s="2" t="s">
        <v>11</v>
      </c>
    </row>
    <row r="5" spans="1:29" s="2" customFormat="1" x14ac:dyDescent="0.3">
      <c r="A5" s="19" t="s">
        <v>74</v>
      </c>
      <c r="B5" s="20">
        <v>46030</v>
      </c>
      <c r="C5" s="21">
        <v>1</v>
      </c>
      <c r="D5" s="21">
        <v>0</v>
      </c>
      <c r="E5" s="19" t="s">
        <v>75</v>
      </c>
      <c r="F5" s="58" t="s">
        <v>98</v>
      </c>
      <c r="G5" s="19" t="s">
        <v>7</v>
      </c>
      <c r="H5" s="19" t="s">
        <v>76</v>
      </c>
      <c r="I5" s="19" t="s">
        <v>20</v>
      </c>
      <c r="J5" s="19" t="s">
        <v>77</v>
      </c>
      <c r="K5" s="19" t="s">
        <v>13</v>
      </c>
      <c r="AB5" s="2" t="s">
        <v>14</v>
      </c>
      <c r="AC5" s="2">
        <v>17</v>
      </c>
    </row>
    <row r="6" spans="1:29" s="2" customFormat="1" x14ac:dyDescent="0.3">
      <c r="A6" s="19" t="s">
        <v>81</v>
      </c>
      <c r="B6" s="20">
        <v>46034</v>
      </c>
      <c r="C6" s="21">
        <v>2</v>
      </c>
      <c r="D6" s="21">
        <v>0</v>
      </c>
      <c r="E6" s="19" t="s">
        <v>41</v>
      </c>
      <c r="F6" s="58" t="s">
        <v>98</v>
      </c>
      <c r="G6" s="19" t="s">
        <v>7</v>
      </c>
      <c r="H6" s="19" t="s">
        <v>18</v>
      </c>
      <c r="I6" s="58" t="s">
        <v>56</v>
      </c>
      <c r="J6" s="19" t="s">
        <v>82</v>
      </c>
      <c r="K6" s="19" t="s">
        <v>22</v>
      </c>
      <c r="N6" s="10"/>
      <c r="AB6" s="2" t="s">
        <v>15</v>
      </c>
      <c r="AC6" s="2">
        <v>3</v>
      </c>
    </row>
    <row r="7" spans="1:29" s="2" customFormat="1" x14ac:dyDescent="0.3">
      <c r="A7" s="19" t="s">
        <v>89</v>
      </c>
      <c r="B7" s="20">
        <v>45982</v>
      </c>
      <c r="C7" s="21">
        <v>1</v>
      </c>
      <c r="D7" s="21">
        <v>0</v>
      </c>
      <c r="E7" s="19" t="s">
        <v>90</v>
      </c>
      <c r="F7" s="58" t="s">
        <v>98</v>
      </c>
      <c r="G7" s="19" t="s">
        <v>7</v>
      </c>
      <c r="H7" s="19" t="s">
        <v>64</v>
      </c>
      <c r="I7" s="19" t="s">
        <v>9</v>
      </c>
      <c r="J7" s="19" t="s">
        <v>26</v>
      </c>
      <c r="K7" s="19" t="s">
        <v>91</v>
      </c>
      <c r="N7" s="10"/>
      <c r="V7" s="11"/>
      <c r="AB7" s="2" t="s">
        <v>16</v>
      </c>
      <c r="AC7" s="2">
        <v>4</v>
      </c>
    </row>
    <row r="8" spans="1:29" s="2" customFormat="1" x14ac:dyDescent="0.3">
      <c r="A8" s="19" t="s">
        <v>92</v>
      </c>
      <c r="B8" s="20">
        <v>45971</v>
      </c>
      <c r="C8" s="21">
        <v>1</v>
      </c>
      <c r="D8" s="21">
        <v>0</v>
      </c>
      <c r="E8" s="19" t="s">
        <v>93</v>
      </c>
      <c r="F8" s="58" t="s">
        <v>98</v>
      </c>
      <c r="G8" s="19" t="s">
        <v>7</v>
      </c>
      <c r="H8" s="19" t="s">
        <v>94</v>
      </c>
      <c r="I8" s="19" t="s">
        <v>9</v>
      </c>
      <c r="J8" s="19" t="s">
        <v>95</v>
      </c>
      <c r="K8" s="19" t="s">
        <v>91</v>
      </c>
      <c r="N8" s="10"/>
    </row>
    <row r="9" spans="1:29" s="2" customFormat="1" x14ac:dyDescent="0.3">
      <c r="A9" s="19" t="s">
        <v>96</v>
      </c>
      <c r="B9" s="20">
        <v>45974</v>
      </c>
      <c r="C9" s="21">
        <v>1</v>
      </c>
      <c r="D9" s="21">
        <v>0</v>
      </c>
      <c r="E9" s="19" t="s">
        <v>97</v>
      </c>
      <c r="F9" s="58" t="s">
        <v>98</v>
      </c>
      <c r="G9" s="19" t="s">
        <v>7</v>
      </c>
      <c r="H9" s="19" t="s">
        <v>23</v>
      </c>
      <c r="I9" s="19" t="s">
        <v>9</v>
      </c>
      <c r="J9" s="19" t="s">
        <v>95</v>
      </c>
      <c r="K9" s="19" t="s">
        <v>13</v>
      </c>
      <c r="N9" s="10"/>
    </row>
    <row r="10" spans="1:29" s="2" customFormat="1" x14ac:dyDescent="0.3">
      <c r="A10" s="19" t="s">
        <v>99</v>
      </c>
      <c r="B10" s="20">
        <v>45972</v>
      </c>
      <c r="C10" s="21">
        <v>1</v>
      </c>
      <c r="D10" s="21">
        <v>0</v>
      </c>
      <c r="E10" s="58" t="s">
        <v>166</v>
      </c>
      <c r="F10" s="58" t="s">
        <v>98</v>
      </c>
      <c r="G10" s="19" t="s">
        <v>7</v>
      </c>
      <c r="H10" s="19" t="s">
        <v>44</v>
      </c>
      <c r="I10" s="19" t="s">
        <v>20</v>
      </c>
      <c r="J10" s="58" t="s">
        <v>166</v>
      </c>
      <c r="K10" s="19" t="s">
        <v>13</v>
      </c>
      <c r="N10" s="10"/>
    </row>
    <row r="11" spans="1:29" s="2" customFormat="1" x14ac:dyDescent="0.3">
      <c r="A11" s="19" t="s">
        <v>100</v>
      </c>
      <c r="B11" s="20">
        <v>46038</v>
      </c>
      <c r="C11" s="21">
        <v>2</v>
      </c>
      <c r="D11" s="21">
        <v>1</v>
      </c>
      <c r="E11" s="19" t="s">
        <v>101</v>
      </c>
      <c r="F11" s="58" t="s">
        <v>98</v>
      </c>
      <c r="G11" s="19" t="s">
        <v>7</v>
      </c>
      <c r="H11" s="19" t="s">
        <v>235</v>
      </c>
      <c r="I11" s="19" t="s">
        <v>20</v>
      </c>
      <c r="J11" s="19" t="s">
        <v>103</v>
      </c>
      <c r="K11" s="19" t="s">
        <v>21</v>
      </c>
    </row>
    <row r="12" spans="1:29" s="2" customFormat="1" x14ac:dyDescent="0.3">
      <c r="A12" s="19" t="s">
        <v>116</v>
      </c>
      <c r="B12" s="20">
        <v>46050</v>
      </c>
      <c r="C12" s="21">
        <v>1</v>
      </c>
      <c r="D12" s="21">
        <v>0</v>
      </c>
      <c r="E12" s="19" t="s">
        <v>54</v>
      </c>
      <c r="F12" s="19" t="s">
        <v>200</v>
      </c>
      <c r="G12" s="19" t="s">
        <v>7</v>
      </c>
      <c r="H12" s="19" t="s">
        <v>18</v>
      </c>
      <c r="I12" s="58" t="s">
        <v>56</v>
      </c>
      <c r="J12" s="19" t="s">
        <v>117</v>
      </c>
      <c r="K12" s="19" t="s">
        <v>118</v>
      </c>
    </row>
    <row r="13" spans="1:29" s="2" customFormat="1" x14ac:dyDescent="0.3">
      <c r="A13" s="19" t="s">
        <v>122</v>
      </c>
      <c r="B13" s="20">
        <v>46048</v>
      </c>
      <c r="C13" s="21">
        <v>2</v>
      </c>
      <c r="D13" s="21">
        <v>0</v>
      </c>
      <c r="E13" s="19" t="s">
        <v>236</v>
      </c>
      <c r="F13" s="58" t="s">
        <v>98</v>
      </c>
      <c r="G13" s="19" t="s">
        <v>7</v>
      </c>
      <c r="H13" s="19" t="s">
        <v>23</v>
      </c>
      <c r="I13" s="19" t="s">
        <v>9</v>
      </c>
      <c r="J13" s="19" t="s">
        <v>121</v>
      </c>
      <c r="K13" s="19" t="s">
        <v>13</v>
      </c>
    </row>
    <row r="14" spans="1:29" s="2" customFormat="1" x14ac:dyDescent="0.3">
      <c r="A14" s="19" t="s">
        <v>128</v>
      </c>
      <c r="B14" s="20">
        <v>46035</v>
      </c>
      <c r="C14" s="21">
        <v>1</v>
      </c>
      <c r="D14" s="21">
        <v>0</v>
      </c>
      <c r="E14" s="19" t="s">
        <v>129</v>
      </c>
      <c r="F14" s="19" t="s">
        <v>200</v>
      </c>
      <c r="G14" s="19" t="s">
        <v>7</v>
      </c>
      <c r="H14" s="19" t="s">
        <v>64</v>
      </c>
      <c r="I14" s="19" t="s">
        <v>9</v>
      </c>
      <c r="J14" s="19" t="s">
        <v>65</v>
      </c>
      <c r="K14" s="19" t="s">
        <v>48</v>
      </c>
    </row>
    <row r="15" spans="1:29" s="2" customFormat="1" x14ac:dyDescent="0.3">
      <c r="A15" s="19" t="s">
        <v>135</v>
      </c>
      <c r="B15" s="20">
        <v>46048</v>
      </c>
      <c r="C15" s="21">
        <v>1</v>
      </c>
      <c r="D15" s="21">
        <v>0</v>
      </c>
      <c r="E15" s="19" t="s">
        <v>136</v>
      </c>
      <c r="F15" s="19" t="s">
        <v>200</v>
      </c>
      <c r="G15" s="19" t="s">
        <v>7</v>
      </c>
      <c r="H15" s="19" t="s">
        <v>23</v>
      </c>
      <c r="I15" s="19" t="s">
        <v>9</v>
      </c>
      <c r="J15" s="19" t="s">
        <v>137</v>
      </c>
      <c r="K15" s="19" t="s">
        <v>13</v>
      </c>
    </row>
    <row r="16" spans="1:29" s="2" customFormat="1" x14ac:dyDescent="0.3">
      <c r="A16" s="19" t="s">
        <v>138</v>
      </c>
      <c r="B16" s="20">
        <v>46006</v>
      </c>
      <c r="C16" s="21">
        <v>5</v>
      </c>
      <c r="D16" s="21">
        <v>0</v>
      </c>
      <c r="E16" s="19" t="s">
        <v>45</v>
      </c>
      <c r="F16" s="19" t="s">
        <v>200</v>
      </c>
      <c r="G16" s="19" t="s">
        <v>7</v>
      </c>
      <c r="H16" s="19" t="s">
        <v>139</v>
      </c>
      <c r="I16" s="19" t="s">
        <v>20</v>
      </c>
      <c r="J16" s="19" t="s">
        <v>140</v>
      </c>
      <c r="K16" s="19" t="s">
        <v>22</v>
      </c>
    </row>
    <row r="17" spans="1:11" s="2" customFormat="1" x14ac:dyDescent="0.3">
      <c r="A17" s="19" t="s">
        <v>141</v>
      </c>
      <c r="B17" s="20">
        <v>46048</v>
      </c>
      <c r="C17" s="21">
        <v>4</v>
      </c>
      <c r="D17" s="21">
        <v>0</v>
      </c>
      <c r="E17" s="19" t="s">
        <v>142</v>
      </c>
      <c r="F17" s="19" t="s">
        <v>200</v>
      </c>
      <c r="G17" s="19" t="s">
        <v>7</v>
      </c>
      <c r="H17" s="19" t="s">
        <v>139</v>
      </c>
      <c r="I17" s="19" t="s">
        <v>20</v>
      </c>
      <c r="J17" s="19" t="s">
        <v>140</v>
      </c>
      <c r="K17" s="19" t="s">
        <v>22</v>
      </c>
    </row>
    <row r="18" spans="1:11" s="2" customFormat="1" x14ac:dyDescent="0.3">
      <c r="A18" s="19" t="s">
        <v>143</v>
      </c>
      <c r="B18" s="20">
        <v>46014</v>
      </c>
      <c r="C18" s="21">
        <v>2</v>
      </c>
      <c r="D18" s="21">
        <v>1</v>
      </c>
      <c r="E18" s="19" t="s">
        <v>29</v>
      </c>
      <c r="F18" s="19" t="s">
        <v>200</v>
      </c>
      <c r="G18" s="19" t="s">
        <v>7</v>
      </c>
      <c r="H18" s="19" t="s">
        <v>18</v>
      </c>
      <c r="I18" s="58" t="s">
        <v>56</v>
      </c>
      <c r="J18" s="19" t="s">
        <v>140</v>
      </c>
      <c r="K18" s="19" t="s">
        <v>22</v>
      </c>
    </row>
    <row r="19" spans="1:11" s="2" customFormat="1" x14ac:dyDescent="0.3">
      <c r="A19" s="19" t="s">
        <v>146</v>
      </c>
      <c r="B19" s="20">
        <v>46048</v>
      </c>
      <c r="C19" s="21">
        <v>1</v>
      </c>
      <c r="D19" s="21">
        <v>0</v>
      </c>
      <c r="E19" s="19" t="s">
        <v>147</v>
      </c>
      <c r="F19" s="58" t="s">
        <v>98</v>
      </c>
      <c r="G19" s="19" t="s">
        <v>7</v>
      </c>
      <c r="H19" s="19" t="s">
        <v>18</v>
      </c>
      <c r="I19" s="58" t="s">
        <v>56</v>
      </c>
      <c r="J19" s="19" t="s">
        <v>149</v>
      </c>
      <c r="K19" s="19" t="s">
        <v>13</v>
      </c>
    </row>
    <row r="20" spans="1:11" s="2" customFormat="1" x14ac:dyDescent="0.3">
      <c r="A20" s="19" t="s">
        <v>150</v>
      </c>
      <c r="B20" s="20">
        <v>46050</v>
      </c>
      <c r="C20" s="21">
        <v>1</v>
      </c>
      <c r="D20" s="21">
        <v>0</v>
      </c>
      <c r="E20" s="19" t="s">
        <v>151</v>
      </c>
      <c r="F20" s="58" t="s">
        <v>98</v>
      </c>
      <c r="G20" s="19" t="s">
        <v>7</v>
      </c>
      <c r="H20" s="19" t="s">
        <v>18</v>
      </c>
      <c r="I20" s="58" t="s">
        <v>56</v>
      </c>
      <c r="J20" s="19" t="s">
        <v>149</v>
      </c>
      <c r="K20" s="19" t="s">
        <v>13</v>
      </c>
    </row>
    <row r="21" spans="1:11" s="2" customFormat="1" ht="15" customHeight="1" x14ac:dyDescent="0.3">
      <c r="A21" s="19" t="s">
        <v>152</v>
      </c>
      <c r="B21" s="20">
        <v>46006</v>
      </c>
      <c r="C21" s="21">
        <v>1</v>
      </c>
      <c r="D21" s="21">
        <v>0</v>
      </c>
      <c r="E21" s="19" t="s">
        <v>153</v>
      </c>
      <c r="F21" s="19" t="s">
        <v>200</v>
      </c>
      <c r="G21" s="19" t="s">
        <v>7</v>
      </c>
      <c r="H21" s="19" t="s">
        <v>33</v>
      </c>
      <c r="I21" s="19" t="s">
        <v>20</v>
      </c>
      <c r="J21" s="19" t="s">
        <v>77</v>
      </c>
      <c r="K21" s="19" t="s">
        <v>13</v>
      </c>
    </row>
    <row r="22" spans="1:11" s="2" customFormat="1" ht="13.95" customHeight="1" x14ac:dyDescent="0.3">
      <c r="A22" s="19" t="s">
        <v>154</v>
      </c>
      <c r="B22" s="20">
        <v>46015</v>
      </c>
      <c r="C22" s="21">
        <v>1</v>
      </c>
      <c r="D22" s="21">
        <v>0</v>
      </c>
      <c r="E22" s="19" t="s">
        <v>155</v>
      </c>
      <c r="F22" s="19" t="s">
        <v>98</v>
      </c>
      <c r="G22" s="19" t="s">
        <v>7</v>
      </c>
      <c r="H22" s="19" t="s">
        <v>47</v>
      </c>
      <c r="I22" s="19" t="s">
        <v>9</v>
      </c>
      <c r="J22" s="19" t="s">
        <v>156</v>
      </c>
      <c r="K22" s="19" t="s">
        <v>13</v>
      </c>
    </row>
    <row r="23" spans="1:11" s="2" customFormat="1" x14ac:dyDescent="0.3">
      <c r="A23" s="19" t="s">
        <v>157</v>
      </c>
      <c r="B23" s="20">
        <v>46020</v>
      </c>
      <c r="C23" s="21">
        <v>1</v>
      </c>
      <c r="D23" s="21">
        <v>0</v>
      </c>
      <c r="E23" s="19" t="s">
        <v>158</v>
      </c>
      <c r="F23" s="58" t="s">
        <v>98</v>
      </c>
      <c r="G23" s="19" t="s">
        <v>7</v>
      </c>
      <c r="H23" s="19" t="s">
        <v>17</v>
      </c>
      <c r="I23" s="19" t="s">
        <v>9</v>
      </c>
      <c r="J23" s="19" t="s">
        <v>159</v>
      </c>
      <c r="K23" s="19" t="s">
        <v>28</v>
      </c>
    </row>
    <row r="24" spans="1:11" s="2" customFormat="1" x14ac:dyDescent="0.3">
      <c r="A24" s="19" t="s">
        <v>162</v>
      </c>
      <c r="B24" s="20">
        <v>46019</v>
      </c>
      <c r="C24" s="21">
        <v>1</v>
      </c>
      <c r="D24" s="21">
        <v>0</v>
      </c>
      <c r="E24" s="58" t="s">
        <v>166</v>
      </c>
      <c r="F24" s="19" t="s">
        <v>200</v>
      </c>
      <c r="G24" s="19" t="s">
        <v>7</v>
      </c>
      <c r="H24" s="19" t="s">
        <v>33</v>
      </c>
      <c r="I24" s="19" t="s">
        <v>20</v>
      </c>
      <c r="J24" s="58" t="s">
        <v>166</v>
      </c>
      <c r="K24" s="19" t="s">
        <v>13</v>
      </c>
    </row>
    <row r="25" spans="1:11" s="2" customFormat="1" x14ac:dyDescent="0.3">
      <c r="A25" s="19" t="s">
        <v>172</v>
      </c>
      <c r="B25" s="20">
        <v>46044</v>
      </c>
      <c r="C25" s="21">
        <v>1</v>
      </c>
      <c r="D25" s="21">
        <v>0</v>
      </c>
      <c r="E25" s="19" t="s">
        <v>173</v>
      </c>
      <c r="F25" s="58" t="s">
        <v>98</v>
      </c>
      <c r="G25" s="19" t="s">
        <v>7</v>
      </c>
      <c r="H25" s="19" t="s">
        <v>33</v>
      </c>
      <c r="I25" s="19" t="s">
        <v>20</v>
      </c>
      <c r="J25" s="19" t="s">
        <v>175</v>
      </c>
      <c r="K25" s="19" t="s">
        <v>176</v>
      </c>
    </row>
    <row r="26" spans="1:11" s="2" customFormat="1" ht="15" customHeight="1" x14ac:dyDescent="0.3">
      <c r="A26" s="19" t="s">
        <v>188</v>
      </c>
      <c r="B26" s="20">
        <v>46036</v>
      </c>
      <c r="C26" s="21">
        <v>1</v>
      </c>
      <c r="D26" s="21">
        <v>0</v>
      </c>
      <c r="E26" s="19" t="s">
        <v>41</v>
      </c>
      <c r="F26" s="58" t="s">
        <v>98</v>
      </c>
      <c r="G26" s="19" t="s">
        <v>7</v>
      </c>
      <c r="H26" s="19" t="s">
        <v>18</v>
      </c>
      <c r="I26" s="58" t="s">
        <v>56</v>
      </c>
      <c r="J26" s="19" t="s">
        <v>82</v>
      </c>
      <c r="K26" s="19" t="s">
        <v>22</v>
      </c>
    </row>
    <row r="27" spans="1:11" s="2" customFormat="1" x14ac:dyDescent="0.3">
      <c r="A27" s="19" t="s">
        <v>197</v>
      </c>
      <c r="B27" s="20">
        <v>46043</v>
      </c>
      <c r="C27" s="21">
        <v>1</v>
      </c>
      <c r="D27" s="21">
        <v>0</v>
      </c>
      <c r="E27" s="19" t="s">
        <v>93</v>
      </c>
      <c r="F27" s="58" t="s">
        <v>98</v>
      </c>
      <c r="G27" s="19" t="s">
        <v>7</v>
      </c>
      <c r="H27" s="19" t="s">
        <v>219</v>
      </c>
      <c r="I27" s="19" t="s">
        <v>20</v>
      </c>
      <c r="J27" s="19" t="s">
        <v>140</v>
      </c>
      <c r="K27" s="19" t="s">
        <v>22</v>
      </c>
    </row>
    <row r="28" spans="1:11" s="2" customFormat="1" x14ac:dyDescent="0.3">
      <c r="A28" s="19" t="s">
        <v>198</v>
      </c>
      <c r="B28" s="20">
        <v>46045</v>
      </c>
      <c r="C28" s="21">
        <v>1</v>
      </c>
      <c r="D28" s="21">
        <v>0</v>
      </c>
      <c r="E28" s="19" t="s">
        <v>199</v>
      </c>
      <c r="F28" s="19" t="s">
        <v>200</v>
      </c>
      <c r="G28" s="19" t="s">
        <v>7</v>
      </c>
      <c r="H28" s="19" t="s">
        <v>33</v>
      </c>
      <c r="I28" s="19" t="s">
        <v>20</v>
      </c>
      <c r="J28" s="19" t="s">
        <v>12</v>
      </c>
      <c r="K28" s="19" t="s">
        <v>24</v>
      </c>
    </row>
    <row r="29" spans="1:11" s="2" customFormat="1" x14ac:dyDescent="0.3">
      <c r="A29" s="19" t="s">
        <v>202</v>
      </c>
      <c r="B29" s="20">
        <v>46042</v>
      </c>
      <c r="C29" s="21">
        <v>1</v>
      </c>
      <c r="D29" s="21">
        <v>0</v>
      </c>
      <c r="E29" s="19" t="s">
        <v>54</v>
      </c>
      <c r="F29" s="19" t="s">
        <v>98</v>
      </c>
      <c r="G29" s="19" t="s">
        <v>7</v>
      </c>
      <c r="H29" s="19" t="s">
        <v>17</v>
      </c>
      <c r="I29" s="19" t="s">
        <v>9</v>
      </c>
      <c r="J29" s="19" t="s">
        <v>203</v>
      </c>
      <c r="K29" s="19" t="s">
        <v>19</v>
      </c>
    </row>
    <row r="30" spans="1:11" s="2" customFormat="1" x14ac:dyDescent="0.3">
      <c r="A30" s="19" t="s">
        <v>204</v>
      </c>
      <c r="B30" s="20">
        <v>46049</v>
      </c>
      <c r="C30" s="21">
        <v>1</v>
      </c>
      <c r="D30" s="21">
        <v>0</v>
      </c>
      <c r="E30" s="19" t="s">
        <v>205</v>
      </c>
      <c r="F30" s="19" t="s">
        <v>98</v>
      </c>
      <c r="G30" s="19" t="s">
        <v>7</v>
      </c>
      <c r="H30" s="19" t="s">
        <v>17</v>
      </c>
      <c r="I30" s="19" t="s">
        <v>9</v>
      </c>
      <c r="J30" s="19" t="s">
        <v>206</v>
      </c>
      <c r="K30" s="19" t="s">
        <v>13</v>
      </c>
    </row>
    <row r="31" spans="1:11" s="2" customFormat="1" x14ac:dyDescent="0.3">
      <c r="A31" s="19" t="s">
        <v>207</v>
      </c>
      <c r="B31" s="20">
        <v>46043</v>
      </c>
      <c r="C31" s="21">
        <v>1</v>
      </c>
      <c r="D31" s="21">
        <v>0</v>
      </c>
      <c r="E31" s="19" t="s">
        <v>208</v>
      </c>
      <c r="F31" s="58" t="s">
        <v>98</v>
      </c>
      <c r="G31" s="19" t="s">
        <v>7</v>
      </c>
      <c r="H31" s="19" t="s">
        <v>18</v>
      </c>
      <c r="I31" s="58" t="s">
        <v>56</v>
      </c>
      <c r="J31" s="19" t="s">
        <v>117</v>
      </c>
      <c r="K31" s="19" t="s">
        <v>13</v>
      </c>
    </row>
    <row r="32" spans="1:11" s="2" customFormat="1" x14ac:dyDescent="0.3">
      <c r="A32" s="19" t="s">
        <v>209</v>
      </c>
      <c r="B32" s="20">
        <v>46050</v>
      </c>
      <c r="C32" s="21">
        <v>1</v>
      </c>
      <c r="D32" s="21">
        <v>0</v>
      </c>
      <c r="E32" s="19" t="s">
        <v>210</v>
      </c>
      <c r="F32" s="19" t="s">
        <v>98</v>
      </c>
      <c r="G32" s="19" t="s">
        <v>7</v>
      </c>
      <c r="H32" s="19" t="s">
        <v>17</v>
      </c>
      <c r="I32" s="19" t="s">
        <v>9</v>
      </c>
      <c r="J32" s="19" t="s">
        <v>206</v>
      </c>
      <c r="K32" s="19" t="s">
        <v>13</v>
      </c>
    </row>
    <row r="33" spans="1:19" s="2" customFormat="1" x14ac:dyDescent="0.3">
      <c r="A33" s="19" t="s">
        <v>213</v>
      </c>
      <c r="B33" s="20">
        <v>46043</v>
      </c>
      <c r="C33" s="21">
        <v>2</v>
      </c>
      <c r="D33" s="21">
        <v>0</v>
      </c>
      <c r="E33" s="19" t="s">
        <v>214</v>
      </c>
      <c r="F33" s="19" t="s">
        <v>200</v>
      </c>
      <c r="G33" s="19" t="s">
        <v>7</v>
      </c>
      <c r="H33" s="19" t="s">
        <v>220</v>
      </c>
      <c r="I33" s="19" t="s">
        <v>20</v>
      </c>
      <c r="J33" s="19" t="s">
        <v>215</v>
      </c>
      <c r="K33" s="19" t="s">
        <v>216</v>
      </c>
    </row>
    <row r="34" spans="1:19" s="2" customFormat="1" x14ac:dyDescent="0.3">
      <c r="A34" s="19" t="s">
        <v>217</v>
      </c>
      <c r="B34" s="20">
        <v>46049</v>
      </c>
      <c r="C34" s="21">
        <v>1</v>
      </c>
      <c r="D34" s="21">
        <v>0</v>
      </c>
      <c r="E34" s="19" t="s">
        <v>218</v>
      </c>
      <c r="F34" s="19" t="s">
        <v>200</v>
      </c>
      <c r="G34" s="19" t="s">
        <v>7</v>
      </c>
      <c r="H34" s="19" t="s">
        <v>148</v>
      </c>
      <c r="I34" s="19" t="s">
        <v>20</v>
      </c>
      <c r="J34" s="19" t="s">
        <v>121</v>
      </c>
      <c r="K34" s="19" t="s">
        <v>13</v>
      </c>
    </row>
    <row r="35" spans="1:19" s="2" customFormat="1" x14ac:dyDescent="0.3">
      <c r="A35" s="19" t="s">
        <v>221</v>
      </c>
      <c r="B35" s="20">
        <v>46050</v>
      </c>
      <c r="C35" s="21">
        <v>2</v>
      </c>
      <c r="D35" s="21">
        <v>0</v>
      </c>
      <c r="E35" s="19" t="s">
        <v>201</v>
      </c>
      <c r="F35" s="19" t="s">
        <v>200</v>
      </c>
      <c r="G35" s="19" t="s">
        <v>7</v>
      </c>
      <c r="H35" s="19" t="s">
        <v>47</v>
      </c>
      <c r="I35" s="19" t="s">
        <v>9</v>
      </c>
      <c r="J35" s="19" t="s">
        <v>105</v>
      </c>
      <c r="K35" s="19" t="s">
        <v>43</v>
      </c>
    </row>
    <row r="36" spans="1:19" s="2" customFormat="1" x14ac:dyDescent="0.3">
      <c r="A36" s="19" t="s">
        <v>228</v>
      </c>
      <c r="B36" s="20">
        <v>46045</v>
      </c>
      <c r="C36" s="21">
        <v>1</v>
      </c>
      <c r="D36" s="21">
        <v>0</v>
      </c>
      <c r="E36" s="19" t="s">
        <v>30</v>
      </c>
      <c r="F36" s="19" t="s">
        <v>200</v>
      </c>
      <c r="G36" s="19" t="s">
        <v>7</v>
      </c>
      <c r="H36" s="19" t="s">
        <v>8</v>
      </c>
      <c r="I36" s="19" t="s">
        <v>9</v>
      </c>
      <c r="J36" s="19" t="s">
        <v>12</v>
      </c>
      <c r="K36" s="19" t="s">
        <v>24</v>
      </c>
    </row>
    <row r="37" spans="1:19" s="2" customFormat="1" ht="14.25" customHeight="1" x14ac:dyDescent="0.3">
      <c r="A37" s="19" t="s">
        <v>229</v>
      </c>
      <c r="B37" s="20">
        <v>46049</v>
      </c>
      <c r="C37" s="21">
        <v>3</v>
      </c>
      <c r="D37" s="21">
        <v>0</v>
      </c>
      <c r="E37" s="19" t="s">
        <v>45</v>
      </c>
      <c r="F37" s="58" t="s">
        <v>98</v>
      </c>
      <c r="G37" s="19" t="s">
        <v>7</v>
      </c>
      <c r="H37" s="19" t="s">
        <v>33</v>
      </c>
      <c r="I37" s="19" t="s">
        <v>20</v>
      </c>
      <c r="J37" s="19" t="s">
        <v>121</v>
      </c>
      <c r="K37" s="19" t="s">
        <v>13</v>
      </c>
    </row>
    <row r="38" spans="1:19" s="2" customFormat="1" ht="14.25" customHeight="1" x14ac:dyDescent="0.3">
      <c r="A38" s="19" t="s">
        <v>233</v>
      </c>
      <c r="B38" s="20">
        <v>46050</v>
      </c>
      <c r="C38" s="21">
        <v>3</v>
      </c>
      <c r="D38" s="21">
        <v>0</v>
      </c>
      <c r="E38" s="19" t="s">
        <v>63</v>
      </c>
      <c r="F38" s="19" t="s">
        <v>200</v>
      </c>
      <c r="G38" s="19" t="s">
        <v>7</v>
      </c>
      <c r="H38" s="19" t="s">
        <v>33</v>
      </c>
      <c r="I38" s="19" t="s">
        <v>20</v>
      </c>
      <c r="J38" s="19" t="s">
        <v>65</v>
      </c>
      <c r="K38" s="19" t="s">
        <v>48</v>
      </c>
    </row>
    <row r="39" spans="1:19" s="2" customFormat="1" ht="13.95" customHeight="1" x14ac:dyDescent="0.3">
      <c r="A39" s="19" t="s">
        <v>234</v>
      </c>
      <c r="B39" s="20">
        <v>46050</v>
      </c>
      <c r="C39" s="21">
        <v>30</v>
      </c>
      <c r="D39" s="21">
        <v>0</v>
      </c>
      <c r="E39" s="19" t="s">
        <v>45</v>
      </c>
      <c r="F39" s="19" t="s">
        <v>200</v>
      </c>
      <c r="G39" s="19" t="s">
        <v>7</v>
      </c>
      <c r="H39" s="19" t="s">
        <v>33</v>
      </c>
      <c r="I39" s="19" t="s">
        <v>20</v>
      </c>
      <c r="J39" s="19" t="s">
        <v>49</v>
      </c>
      <c r="K39" s="19" t="s">
        <v>91</v>
      </c>
    </row>
    <row r="40" spans="1:19" s="2" customFormat="1" ht="13.95" hidden="1" customHeight="1" x14ac:dyDescent="0.3">
      <c r="A40" s="19"/>
      <c r="B40" s="20"/>
      <c r="C40" s="21"/>
      <c r="D40" s="21"/>
      <c r="E40" s="19"/>
      <c r="F40" s="58"/>
      <c r="G40" s="19"/>
      <c r="H40" s="19"/>
      <c r="I40" s="19"/>
      <c r="J40" s="19"/>
      <c r="K40" s="19"/>
    </row>
    <row r="41" spans="1:19" s="2" customFormat="1" ht="13.95" hidden="1" customHeight="1" x14ac:dyDescent="0.3">
      <c r="A41" s="43"/>
      <c r="B41" s="44"/>
      <c r="C41" s="45"/>
      <c r="D41" s="45"/>
      <c r="E41" s="43"/>
      <c r="F41" s="43"/>
      <c r="G41" s="43"/>
      <c r="H41" s="43"/>
      <c r="I41" s="43"/>
      <c r="J41" s="43"/>
      <c r="K41" s="43"/>
    </row>
    <row r="42" spans="1:19" s="2" customFormat="1" ht="13.95" hidden="1" customHeight="1" x14ac:dyDescent="0.3">
      <c r="A42" s="43"/>
      <c r="B42" s="44"/>
      <c r="C42" s="45"/>
      <c r="D42" s="45"/>
      <c r="E42" s="43"/>
      <c r="F42" s="43"/>
      <c r="G42" s="43"/>
      <c r="H42" s="43"/>
      <c r="I42" s="43"/>
      <c r="J42" s="43"/>
      <c r="K42" s="43"/>
    </row>
    <row r="43" spans="1:19" s="2" customFormat="1" ht="14.25" hidden="1" customHeight="1" x14ac:dyDescent="0.3">
      <c r="A43" s="43"/>
      <c r="B43" s="44"/>
      <c r="C43" s="45"/>
      <c r="D43" s="45"/>
      <c r="E43" s="43"/>
      <c r="F43" s="43"/>
      <c r="G43" s="43"/>
      <c r="H43" s="43"/>
      <c r="I43" s="43"/>
      <c r="J43" s="43"/>
      <c r="K43" s="43"/>
    </row>
    <row r="44" spans="1:19" s="2" customFormat="1" ht="14.25" hidden="1" customHeight="1" x14ac:dyDescent="0.3">
      <c r="A44" s="43"/>
      <c r="B44" s="44"/>
      <c r="C44" s="45"/>
      <c r="D44" s="45"/>
      <c r="E44" s="43"/>
      <c r="F44" s="43"/>
      <c r="G44" s="43"/>
      <c r="H44" s="43"/>
      <c r="I44" s="43"/>
      <c r="J44" s="43"/>
      <c r="K44" s="43"/>
    </row>
    <row r="45" spans="1:19" ht="15" thickBot="1" x14ac:dyDescent="0.35">
      <c r="A45" s="40"/>
      <c r="B45" s="41"/>
      <c r="C45" s="42"/>
      <c r="D45" s="42"/>
      <c r="E45" s="40"/>
      <c r="F45" s="40"/>
      <c r="G45" s="40"/>
      <c r="H45" s="40"/>
      <c r="I45" s="40"/>
      <c r="J45" s="40"/>
      <c r="K45" s="40"/>
      <c r="P45" s="3"/>
      <c r="Q45" s="3"/>
      <c r="R45" s="4"/>
      <c r="S45" s="4"/>
    </row>
    <row r="46" spans="1:19" ht="15" thickBot="1" x14ac:dyDescent="0.35">
      <c r="B46" s="34" t="s">
        <v>31</v>
      </c>
      <c r="C46" s="12">
        <f>SUM(C4:C39)-SUM(D4:D39)</f>
        <v>80</v>
      </c>
      <c r="D46" s="29"/>
      <c r="F46" s="35" t="s">
        <v>57</v>
      </c>
      <c r="G46" s="36">
        <f>COUNTIF(I4:I41,"Pending")</f>
        <v>8</v>
      </c>
      <c r="I46" s="38" t="s">
        <v>58</v>
      </c>
      <c r="J46" s="39">
        <f>C46-G46</f>
        <v>72</v>
      </c>
    </row>
    <row r="47" spans="1:19" x14ac:dyDescent="0.3">
      <c r="G47" s="3"/>
      <c r="H47" s="4"/>
      <c r="I47" s="3"/>
    </row>
    <row r="48" spans="1:19" hidden="1" x14ac:dyDescent="0.3">
      <c r="D48" s="13"/>
    </row>
    <row r="49" spans="1:12" s="6" customFormat="1" ht="28.8" x14ac:dyDescent="0.3">
      <c r="A49" s="28" t="s">
        <v>0</v>
      </c>
      <c r="B49" s="28" t="s">
        <v>1</v>
      </c>
      <c r="C49" s="28" t="s">
        <v>2</v>
      </c>
      <c r="D49" s="28" t="s">
        <v>3</v>
      </c>
      <c r="E49" s="28" t="s">
        <v>4</v>
      </c>
      <c r="F49" s="28" t="s">
        <v>51</v>
      </c>
      <c r="G49" s="28" t="s">
        <v>52</v>
      </c>
      <c r="H49" s="28" t="s">
        <v>5</v>
      </c>
      <c r="I49" s="28" t="s">
        <v>53</v>
      </c>
      <c r="J49" s="28" t="s">
        <v>27</v>
      </c>
      <c r="K49" s="28" t="s">
        <v>6</v>
      </c>
    </row>
    <row r="50" spans="1:12" s="14" customFormat="1" x14ac:dyDescent="0.3">
      <c r="A50" s="19" t="s">
        <v>170</v>
      </c>
      <c r="B50" s="20">
        <v>46013</v>
      </c>
      <c r="C50" s="21">
        <v>1</v>
      </c>
      <c r="D50" s="21">
        <v>0</v>
      </c>
      <c r="E50" s="19" t="s">
        <v>171</v>
      </c>
      <c r="F50" s="59" t="s">
        <v>131</v>
      </c>
      <c r="G50" s="19" t="s">
        <v>32</v>
      </c>
      <c r="H50" s="19" t="s">
        <v>148</v>
      </c>
      <c r="I50" s="19" t="s">
        <v>20</v>
      </c>
      <c r="J50" s="19" t="s">
        <v>105</v>
      </c>
      <c r="K50" s="19" t="s">
        <v>19</v>
      </c>
    </row>
    <row r="51" spans="1:12" s="14" customFormat="1" hidden="1" x14ac:dyDescent="0.3">
      <c r="A51" s="7"/>
      <c r="B51" s="8"/>
      <c r="C51" s="9"/>
      <c r="D51" s="9"/>
      <c r="E51" s="7"/>
      <c r="F51" s="7"/>
      <c r="G51" s="7"/>
      <c r="H51" s="7"/>
      <c r="I51" s="7"/>
      <c r="J51" s="7"/>
      <c r="K51" s="7"/>
    </row>
    <row r="52" spans="1:12" s="14" customFormat="1" ht="15" hidden="1" customHeight="1" x14ac:dyDescent="0.3">
      <c r="A52" s="7"/>
      <c r="B52" s="8"/>
      <c r="C52" s="9"/>
      <c r="D52" s="9"/>
      <c r="E52" s="7"/>
      <c r="F52" s="7"/>
      <c r="G52" s="7"/>
      <c r="H52" s="7"/>
      <c r="I52" s="7"/>
      <c r="J52" s="7"/>
      <c r="K52" s="31"/>
    </row>
    <row r="53" spans="1:12" s="14" customFormat="1" ht="15" hidden="1" customHeight="1" x14ac:dyDescent="0.3">
      <c r="A53" s="15"/>
      <c r="B53" s="16"/>
      <c r="C53" s="17"/>
      <c r="D53" s="17"/>
      <c r="E53" s="15"/>
      <c r="F53" s="15"/>
      <c r="G53" s="15"/>
      <c r="H53" s="15"/>
      <c r="I53" s="15"/>
      <c r="J53" s="15"/>
      <c r="K53" s="31"/>
    </row>
    <row r="54" spans="1:12" s="18" customFormat="1" ht="15" hidden="1" customHeight="1" x14ac:dyDescent="0.3">
      <c r="A54" s="15"/>
      <c r="B54" s="16"/>
      <c r="C54" s="17"/>
      <c r="D54" s="17"/>
      <c r="E54" s="15"/>
      <c r="F54" s="15"/>
      <c r="G54" s="15"/>
      <c r="H54" s="15"/>
      <c r="I54" s="15"/>
      <c r="J54" s="15"/>
      <c r="K54" s="32"/>
    </row>
    <row r="55" spans="1:12" s="18" customFormat="1" ht="15" hidden="1" customHeight="1" x14ac:dyDescent="0.3">
      <c r="A55" s="19"/>
      <c r="B55" s="20"/>
      <c r="C55" s="21"/>
      <c r="D55" s="21"/>
      <c r="E55" s="19"/>
      <c r="F55" s="19"/>
      <c r="G55" s="19"/>
      <c r="H55" s="19"/>
      <c r="I55" s="19"/>
      <c r="J55" s="19"/>
      <c r="K55" s="32"/>
    </row>
    <row r="56" spans="1:12" s="18" customFormat="1" ht="15" hidden="1" customHeight="1" x14ac:dyDescent="0.3">
      <c r="A56" s="19"/>
      <c r="B56" s="20"/>
      <c r="C56" s="21"/>
      <c r="D56" s="21"/>
      <c r="E56" s="19"/>
      <c r="F56" s="19"/>
      <c r="G56" s="19"/>
      <c r="H56" s="19"/>
      <c r="I56" s="19"/>
      <c r="J56" s="19"/>
      <c r="K56" s="32"/>
    </row>
    <row r="57" spans="1:12" s="18" customFormat="1" ht="15" hidden="1" customHeight="1" x14ac:dyDescent="0.3">
      <c r="A57" s="19"/>
      <c r="B57" s="20"/>
      <c r="C57" s="21"/>
      <c r="D57" s="21"/>
      <c r="E57" s="19"/>
      <c r="F57" s="19"/>
      <c r="G57" s="19"/>
      <c r="H57" s="19"/>
      <c r="I57" s="19"/>
      <c r="J57" s="19"/>
      <c r="K57" s="32"/>
    </row>
    <row r="58" spans="1:12" s="18" customFormat="1" ht="15" hidden="1" customHeight="1" x14ac:dyDescent="0.3">
      <c r="A58" s="47"/>
      <c r="B58" s="48"/>
      <c r="C58" s="49"/>
      <c r="D58" s="49"/>
      <c r="E58" s="47"/>
      <c r="F58" s="47"/>
      <c r="G58" s="47"/>
      <c r="H58" s="47"/>
      <c r="I58" s="47"/>
      <c r="J58" s="47"/>
      <c r="K58" s="50"/>
    </row>
    <row r="59" spans="1:12" ht="15" thickBot="1" x14ac:dyDescent="0.35">
      <c r="A59" s="51"/>
      <c r="B59" s="52"/>
      <c r="C59" s="53"/>
      <c r="D59" s="53"/>
      <c r="E59" s="51"/>
      <c r="F59" s="51"/>
      <c r="G59" s="51"/>
      <c r="H59" s="51"/>
      <c r="I59" s="51"/>
      <c r="J59" s="51"/>
      <c r="K59" s="2"/>
    </row>
    <row r="60" spans="1:12" ht="15" thickBot="1" x14ac:dyDescent="0.35">
      <c r="B60" s="60" t="s">
        <v>34</v>
      </c>
      <c r="C60" s="61">
        <f>SUM(C50:C51)-SUM(D50:D51)</f>
        <v>1</v>
      </c>
      <c r="E60" s="2"/>
      <c r="F60" s="2"/>
      <c r="H60" s="2"/>
      <c r="J60" s="2"/>
      <c r="K60" s="2"/>
    </row>
    <row r="61" spans="1:12" x14ac:dyDescent="0.3">
      <c r="E61" s="2"/>
      <c r="F61" s="2"/>
      <c r="H61" s="2"/>
      <c r="J61" s="2"/>
      <c r="K61" s="2"/>
    </row>
    <row r="62" spans="1:12" hidden="1" x14ac:dyDescent="0.3">
      <c r="E62" s="2"/>
      <c r="F62" s="2"/>
      <c r="H62" s="2"/>
      <c r="J62" s="2"/>
      <c r="K62" s="2"/>
    </row>
    <row r="63" spans="1:12" s="2" customFormat="1" ht="34.35" customHeight="1" x14ac:dyDescent="0.3">
      <c r="A63" s="62" t="s">
        <v>0</v>
      </c>
      <c r="B63" s="62" t="s">
        <v>1</v>
      </c>
      <c r="C63" s="62" t="s">
        <v>2</v>
      </c>
      <c r="D63" s="62" t="s">
        <v>3</v>
      </c>
      <c r="E63" s="62" t="s">
        <v>4</v>
      </c>
      <c r="F63" s="62" t="s">
        <v>51</v>
      </c>
      <c r="G63" s="62" t="s">
        <v>52</v>
      </c>
      <c r="H63" s="62" t="s">
        <v>5</v>
      </c>
      <c r="I63" s="62" t="s">
        <v>53</v>
      </c>
      <c r="J63" s="62" t="s">
        <v>27</v>
      </c>
      <c r="K63" s="62" t="s">
        <v>6</v>
      </c>
    </row>
    <row r="64" spans="1:12" x14ac:dyDescent="0.3">
      <c r="A64" s="19" t="s">
        <v>163</v>
      </c>
      <c r="B64" s="20">
        <v>46050</v>
      </c>
      <c r="C64" s="21">
        <v>1</v>
      </c>
      <c r="D64" s="21">
        <v>0</v>
      </c>
      <c r="E64" s="19" t="s">
        <v>164</v>
      </c>
      <c r="F64" s="19" t="s">
        <v>98</v>
      </c>
      <c r="G64" s="19" t="s">
        <v>55</v>
      </c>
      <c r="H64" s="19" t="s">
        <v>17</v>
      </c>
      <c r="I64" s="19" t="s">
        <v>20</v>
      </c>
      <c r="J64" s="19" t="s">
        <v>165</v>
      </c>
      <c r="K64" s="19" t="s">
        <v>13</v>
      </c>
      <c r="L64" s="63"/>
    </row>
    <row r="65" spans="1:29" x14ac:dyDescent="0.3">
      <c r="A65" s="19" t="s">
        <v>222</v>
      </c>
      <c r="B65" s="20">
        <v>46042</v>
      </c>
      <c r="C65" s="21">
        <v>1</v>
      </c>
      <c r="D65" s="21">
        <v>0</v>
      </c>
      <c r="E65" s="19" t="s">
        <v>223</v>
      </c>
      <c r="F65" s="19" t="s">
        <v>200</v>
      </c>
      <c r="G65" s="19" t="s">
        <v>55</v>
      </c>
      <c r="H65" s="19" t="s">
        <v>33</v>
      </c>
      <c r="I65" s="19" t="s">
        <v>20</v>
      </c>
      <c r="J65" s="19" t="s">
        <v>180</v>
      </c>
      <c r="K65" s="19" t="s">
        <v>13</v>
      </c>
      <c r="L65" s="63"/>
    </row>
    <row r="66" spans="1:29" x14ac:dyDescent="0.3">
      <c r="A66" s="19" t="s">
        <v>224</v>
      </c>
      <c r="B66" s="20">
        <v>46043</v>
      </c>
      <c r="C66" s="21">
        <v>1</v>
      </c>
      <c r="D66" s="21">
        <v>0</v>
      </c>
      <c r="E66" s="19" t="s">
        <v>225</v>
      </c>
      <c r="F66" s="19" t="s">
        <v>200</v>
      </c>
      <c r="G66" s="19" t="s">
        <v>55</v>
      </c>
      <c r="H66" s="19" t="s">
        <v>33</v>
      </c>
      <c r="I66" s="19" t="s">
        <v>20</v>
      </c>
      <c r="J66" s="19" t="s">
        <v>180</v>
      </c>
      <c r="K66" s="19" t="s">
        <v>13</v>
      </c>
      <c r="L66" s="63"/>
    </row>
    <row r="67" spans="1:29" x14ac:dyDescent="0.3">
      <c r="A67" s="19" t="s">
        <v>226</v>
      </c>
      <c r="B67" s="20">
        <v>46043</v>
      </c>
      <c r="C67" s="21">
        <v>2</v>
      </c>
      <c r="D67" s="21">
        <v>0</v>
      </c>
      <c r="E67" s="19" t="s">
        <v>227</v>
      </c>
      <c r="F67" s="19" t="s">
        <v>200</v>
      </c>
      <c r="G67" s="19" t="s">
        <v>55</v>
      </c>
      <c r="H67" s="19" t="s">
        <v>33</v>
      </c>
      <c r="I67" s="19" t="s">
        <v>20</v>
      </c>
      <c r="J67" s="19" t="s">
        <v>180</v>
      </c>
      <c r="K67" s="19" t="s">
        <v>13</v>
      </c>
      <c r="L67" s="63"/>
    </row>
    <row r="68" spans="1:29" x14ac:dyDescent="0.3">
      <c r="A68" s="19" t="s">
        <v>230</v>
      </c>
      <c r="B68" s="20">
        <v>46044</v>
      </c>
      <c r="C68" s="21">
        <v>1</v>
      </c>
      <c r="D68" s="21">
        <v>0</v>
      </c>
      <c r="E68" s="58" t="s">
        <v>166</v>
      </c>
      <c r="F68" s="19" t="s">
        <v>200</v>
      </c>
      <c r="G68" s="19" t="s">
        <v>55</v>
      </c>
      <c r="H68" s="19" t="s">
        <v>33</v>
      </c>
      <c r="I68" s="19" t="s">
        <v>20</v>
      </c>
      <c r="J68" s="58" t="s">
        <v>166</v>
      </c>
      <c r="K68" s="19" t="s">
        <v>24</v>
      </c>
      <c r="L68" s="63"/>
    </row>
    <row r="69" spans="1:29" x14ac:dyDescent="0.3">
      <c r="A69" s="19" t="s">
        <v>237</v>
      </c>
      <c r="B69" s="20">
        <v>46048</v>
      </c>
      <c r="C69" s="21">
        <v>1</v>
      </c>
      <c r="D69" s="21">
        <v>0</v>
      </c>
      <c r="E69" s="19" t="s">
        <v>238</v>
      </c>
      <c r="F69" s="19" t="s">
        <v>200</v>
      </c>
      <c r="G69" s="19" t="s">
        <v>55</v>
      </c>
      <c r="H69" s="19" t="s">
        <v>8</v>
      </c>
      <c r="I69" s="19" t="s">
        <v>20</v>
      </c>
      <c r="J69" s="19" t="s">
        <v>12</v>
      </c>
      <c r="K69" s="19" t="s">
        <v>13</v>
      </c>
      <c r="L69" s="63"/>
    </row>
    <row r="70" spans="1:29" x14ac:dyDescent="0.3">
      <c r="A70" s="19" t="s">
        <v>239</v>
      </c>
      <c r="B70" s="20">
        <v>46051</v>
      </c>
      <c r="C70" s="21">
        <v>1</v>
      </c>
      <c r="D70" s="21">
        <v>0</v>
      </c>
      <c r="E70" s="19" t="s">
        <v>240</v>
      </c>
      <c r="F70" s="19" t="s">
        <v>98</v>
      </c>
      <c r="G70" s="19" t="s">
        <v>55</v>
      </c>
      <c r="H70" s="19" t="s">
        <v>33</v>
      </c>
      <c r="I70" s="19" t="s">
        <v>20</v>
      </c>
      <c r="J70" s="19" t="s">
        <v>186</v>
      </c>
      <c r="K70" s="19" t="s">
        <v>194</v>
      </c>
      <c r="L70" s="63"/>
    </row>
    <row r="71" spans="1:29" x14ac:dyDescent="0.3">
      <c r="A71" s="19" t="s">
        <v>241</v>
      </c>
      <c r="B71" s="20">
        <v>46050</v>
      </c>
      <c r="C71" s="21">
        <v>1</v>
      </c>
      <c r="D71" s="21">
        <v>0</v>
      </c>
      <c r="E71" s="19" t="s">
        <v>147</v>
      </c>
      <c r="F71" s="19" t="s">
        <v>98</v>
      </c>
      <c r="G71" s="19" t="s">
        <v>55</v>
      </c>
      <c r="H71" s="19" t="s">
        <v>183</v>
      </c>
      <c r="I71" s="19" t="s">
        <v>20</v>
      </c>
      <c r="J71" s="19" t="s">
        <v>149</v>
      </c>
      <c r="K71" s="19" t="s">
        <v>242</v>
      </c>
      <c r="L71" s="63"/>
    </row>
    <row r="72" spans="1:29" s="2" customFormat="1" x14ac:dyDescent="0.3">
      <c r="A72" s="19" t="s">
        <v>243</v>
      </c>
      <c r="B72" s="20">
        <v>46050</v>
      </c>
      <c r="C72" s="21">
        <v>1</v>
      </c>
      <c r="D72" s="21">
        <v>0</v>
      </c>
      <c r="E72" s="19" t="s">
        <v>244</v>
      </c>
      <c r="F72" s="19" t="s">
        <v>98</v>
      </c>
      <c r="G72" s="19" t="s">
        <v>55</v>
      </c>
      <c r="H72" s="19" t="s">
        <v>102</v>
      </c>
      <c r="I72" s="19" t="s">
        <v>20</v>
      </c>
      <c r="J72" s="19" t="s">
        <v>103</v>
      </c>
      <c r="K72" s="19" t="s">
        <v>21</v>
      </c>
      <c r="L72" s="63"/>
      <c r="M72" s="4"/>
      <c r="N72" s="4"/>
      <c r="O72" s="4"/>
      <c r="P72" s="4"/>
      <c r="Q72" s="4"/>
      <c r="R72" s="3"/>
      <c r="S72" s="3"/>
      <c r="T72" s="4"/>
      <c r="U72" s="4"/>
      <c r="V72" s="4"/>
      <c r="W72" s="4"/>
      <c r="X72" s="4"/>
      <c r="Y72" s="4"/>
      <c r="Z72" s="4"/>
      <c r="AA72" s="4"/>
      <c r="AB72" s="4"/>
      <c r="AC72" s="4"/>
    </row>
    <row r="73" spans="1:29" s="2" customFormat="1" x14ac:dyDescent="0.3">
      <c r="A73" s="19" t="s">
        <v>245</v>
      </c>
      <c r="B73" s="20">
        <v>46050</v>
      </c>
      <c r="C73" s="21">
        <v>1</v>
      </c>
      <c r="D73" s="21">
        <v>0</v>
      </c>
      <c r="E73" s="19" t="s">
        <v>46</v>
      </c>
      <c r="F73" s="19" t="s">
        <v>200</v>
      </c>
      <c r="G73" s="19" t="s">
        <v>55</v>
      </c>
      <c r="H73" s="19" t="s">
        <v>33</v>
      </c>
      <c r="I73" s="19" t="s">
        <v>20</v>
      </c>
      <c r="J73" s="19" t="s">
        <v>49</v>
      </c>
      <c r="K73" s="19" t="s">
        <v>91</v>
      </c>
      <c r="L73" s="63"/>
      <c r="M73" s="4"/>
      <c r="N73" s="4"/>
      <c r="O73" s="4"/>
      <c r="P73" s="4"/>
      <c r="Q73" s="4"/>
      <c r="R73" s="3"/>
      <c r="S73" s="3"/>
      <c r="T73" s="4"/>
      <c r="U73" s="4"/>
      <c r="V73" s="4"/>
      <c r="W73" s="4"/>
      <c r="X73" s="4"/>
      <c r="Y73" s="4"/>
      <c r="Z73" s="4"/>
      <c r="AA73" s="4"/>
      <c r="AB73" s="4"/>
      <c r="AC73" s="4"/>
    </row>
    <row r="74" spans="1:29" s="2" customFormat="1" x14ac:dyDescent="0.3">
      <c r="A74" s="19" t="s">
        <v>246</v>
      </c>
      <c r="B74" s="20">
        <v>46050</v>
      </c>
      <c r="C74" s="21">
        <v>1</v>
      </c>
      <c r="D74" s="21">
        <v>0</v>
      </c>
      <c r="E74" s="19" t="s">
        <v>232</v>
      </c>
      <c r="F74" s="19" t="s">
        <v>200</v>
      </c>
      <c r="G74" s="19" t="s">
        <v>55</v>
      </c>
      <c r="H74" s="19" t="s">
        <v>33</v>
      </c>
      <c r="I74" s="19" t="s">
        <v>20</v>
      </c>
      <c r="J74" s="19" t="s">
        <v>65</v>
      </c>
      <c r="K74" s="19" t="s">
        <v>48</v>
      </c>
      <c r="L74" s="63"/>
      <c r="M74" s="4"/>
      <c r="N74" s="4"/>
      <c r="O74" s="4"/>
      <c r="P74" s="4"/>
      <c r="Q74" s="4"/>
      <c r="R74" s="3"/>
      <c r="S74" s="3"/>
      <c r="T74" s="4"/>
      <c r="U74" s="4"/>
      <c r="V74" s="4"/>
      <c r="W74" s="4"/>
      <c r="X74" s="4"/>
      <c r="Y74" s="4"/>
      <c r="Z74" s="4"/>
      <c r="AA74" s="4"/>
      <c r="AB74" s="4"/>
      <c r="AC74" s="4"/>
    </row>
    <row r="75" spans="1:29" s="2" customFormat="1" x14ac:dyDescent="0.3">
      <c r="A75" s="19" t="s">
        <v>247</v>
      </c>
      <c r="B75" s="20">
        <v>46050</v>
      </c>
      <c r="C75" s="21">
        <v>1</v>
      </c>
      <c r="D75" s="21">
        <v>0</v>
      </c>
      <c r="E75" s="19" t="s">
        <v>120</v>
      </c>
      <c r="F75" s="19" t="s">
        <v>98</v>
      </c>
      <c r="G75" s="19" t="s">
        <v>55</v>
      </c>
      <c r="H75" s="19" t="s">
        <v>33</v>
      </c>
      <c r="I75" s="19" t="s">
        <v>20</v>
      </c>
      <c r="J75" s="19" t="s">
        <v>248</v>
      </c>
      <c r="K75" s="19" t="s">
        <v>43</v>
      </c>
      <c r="L75" s="63"/>
      <c r="M75" s="4"/>
      <c r="N75" s="4"/>
      <c r="O75" s="4"/>
      <c r="P75" s="4"/>
      <c r="Q75" s="4"/>
      <c r="R75" s="3"/>
      <c r="S75" s="3"/>
      <c r="T75" s="4"/>
      <c r="U75" s="4"/>
      <c r="V75" s="4"/>
      <c r="W75" s="4"/>
      <c r="X75" s="4"/>
      <c r="Y75" s="4"/>
      <c r="Z75" s="4"/>
      <c r="AA75" s="4"/>
      <c r="AB75" s="4"/>
      <c r="AC75" s="4"/>
    </row>
    <row r="76" spans="1:29" s="2" customFormat="1" x14ac:dyDescent="0.3">
      <c r="A76" s="19" t="s">
        <v>249</v>
      </c>
      <c r="B76" s="20">
        <v>46050</v>
      </c>
      <c r="C76" s="21">
        <v>2</v>
      </c>
      <c r="D76" s="21">
        <v>0</v>
      </c>
      <c r="E76" s="19" t="s">
        <v>45</v>
      </c>
      <c r="F76" s="19" t="s">
        <v>98</v>
      </c>
      <c r="G76" s="19" t="s">
        <v>55</v>
      </c>
      <c r="H76" s="19" t="s">
        <v>139</v>
      </c>
      <c r="I76" s="19" t="s">
        <v>20</v>
      </c>
      <c r="J76" s="19" t="s">
        <v>121</v>
      </c>
      <c r="K76" s="19" t="s">
        <v>250</v>
      </c>
      <c r="L76" s="63"/>
      <c r="M76" s="4"/>
      <c r="N76" s="4"/>
      <c r="O76" s="4"/>
      <c r="P76" s="4"/>
      <c r="Q76" s="4"/>
      <c r="R76" s="3"/>
      <c r="S76" s="3"/>
      <c r="T76" s="4"/>
      <c r="U76" s="4"/>
      <c r="V76" s="4"/>
      <c r="W76" s="4"/>
      <c r="X76" s="4"/>
      <c r="Y76" s="4"/>
      <c r="Z76" s="4"/>
      <c r="AA76" s="4"/>
      <c r="AB76" s="4"/>
      <c r="AC76" s="4"/>
    </row>
    <row r="77" spans="1:29" s="2" customFormat="1" x14ac:dyDescent="0.3">
      <c r="A77" s="19">
        <v>3524</v>
      </c>
      <c r="B77" s="20">
        <v>46051</v>
      </c>
      <c r="C77" s="21">
        <v>1</v>
      </c>
      <c r="D77" s="21">
        <v>0</v>
      </c>
      <c r="E77" s="19" t="s">
        <v>244</v>
      </c>
      <c r="F77" s="19" t="s">
        <v>98</v>
      </c>
      <c r="G77" s="19" t="s">
        <v>55</v>
      </c>
      <c r="H77" s="19"/>
      <c r="I77" s="19" t="s">
        <v>20</v>
      </c>
      <c r="J77" s="19" t="s">
        <v>103</v>
      </c>
      <c r="K77" s="19" t="s">
        <v>21</v>
      </c>
      <c r="L77" s="4"/>
      <c r="M77" s="4"/>
      <c r="N77" s="4"/>
      <c r="O77" s="4"/>
      <c r="P77" s="4"/>
      <c r="Q77" s="4"/>
      <c r="R77" s="3"/>
      <c r="S77" s="3"/>
      <c r="T77" s="4"/>
      <c r="U77" s="4"/>
      <c r="V77" s="4"/>
      <c r="W77" s="4"/>
      <c r="X77" s="4"/>
      <c r="Y77" s="4"/>
      <c r="Z77" s="4"/>
      <c r="AA77" s="4"/>
      <c r="AB77" s="4"/>
      <c r="AC77" s="4"/>
    </row>
    <row r="78" spans="1:29" s="2" customFormat="1" x14ac:dyDescent="0.3">
      <c r="A78" s="19">
        <v>3525</v>
      </c>
      <c r="B78" s="20">
        <v>46051</v>
      </c>
      <c r="C78" s="21">
        <v>1</v>
      </c>
      <c r="D78" s="21">
        <v>0</v>
      </c>
      <c r="E78" s="19" t="s">
        <v>101</v>
      </c>
      <c r="F78" s="19" t="s">
        <v>98</v>
      </c>
      <c r="G78" s="19" t="s">
        <v>55</v>
      </c>
      <c r="H78" s="19"/>
      <c r="I78" s="19" t="s">
        <v>20</v>
      </c>
      <c r="J78" s="19" t="s">
        <v>103</v>
      </c>
      <c r="K78" s="19" t="s">
        <v>21</v>
      </c>
      <c r="L78" s="4"/>
      <c r="M78" s="4"/>
      <c r="N78" s="4"/>
      <c r="O78" s="4"/>
      <c r="P78" s="4"/>
      <c r="Q78" s="4"/>
      <c r="R78" s="3"/>
      <c r="S78" s="3"/>
      <c r="T78" s="4"/>
      <c r="U78" s="4"/>
      <c r="V78" s="4"/>
      <c r="W78" s="4"/>
      <c r="X78" s="4"/>
      <c r="Y78" s="4"/>
      <c r="Z78" s="4"/>
      <c r="AA78" s="4"/>
      <c r="AB78" s="4"/>
      <c r="AC78" s="4"/>
    </row>
    <row r="79" spans="1:29" s="2" customFormat="1" hidden="1" x14ac:dyDescent="0.3">
      <c r="A79" s="19"/>
      <c r="B79" s="20"/>
      <c r="C79" s="21"/>
      <c r="D79" s="21"/>
      <c r="E79" s="19"/>
      <c r="F79" s="19"/>
      <c r="G79" s="19"/>
      <c r="H79" s="19"/>
      <c r="I79" s="19"/>
      <c r="J79" s="19"/>
      <c r="K79" s="19"/>
      <c r="L79" s="4"/>
      <c r="M79" s="4"/>
      <c r="N79" s="4"/>
      <c r="O79" s="4"/>
      <c r="P79" s="4"/>
      <c r="Q79" s="4"/>
      <c r="R79" s="3"/>
      <c r="S79" s="3"/>
      <c r="T79" s="4"/>
      <c r="U79" s="4"/>
      <c r="V79" s="4"/>
      <c r="W79" s="4"/>
      <c r="X79" s="4"/>
      <c r="Y79" s="4"/>
      <c r="Z79" s="4"/>
      <c r="AA79" s="4"/>
      <c r="AB79" s="4"/>
      <c r="AC79" s="4"/>
    </row>
    <row r="80" spans="1:29" s="2" customFormat="1" hidden="1" x14ac:dyDescent="0.3">
      <c r="A80" s="19"/>
      <c r="B80" s="20"/>
      <c r="C80" s="21"/>
      <c r="D80" s="21"/>
      <c r="E80" s="19"/>
      <c r="F80" s="19"/>
      <c r="G80" s="19"/>
      <c r="H80" s="19"/>
      <c r="I80" s="19"/>
      <c r="J80" s="19"/>
      <c r="K80" s="19"/>
      <c r="L80" s="4"/>
      <c r="M80" s="4"/>
      <c r="N80" s="4"/>
      <c r="O80" s="4"/>
      <c r="P80" s="4"/>
      <c r="Q80" s="4"/>
      <c r="R80" s="3"/>
      <c r="S80" s="3"/>
      <c r="T80" s="4"/>
      <c r="U80" s="4"/>
      <c r="V80" s="4"/>
      <c r="W80" s="4"/>
      <c r="X80" s="4"/>
      <c r="Y80" s="4"/>
      <c r="Z80" s="4"/>
      <c r="AA80" s="4"/>
      <c r="AB80" s="4"/>
      <c r="AC80" s="4"/>
    </row>
    <row r="81" spans="1:29" s="2" customFormat="1" ht="15" thickBot="1" x14ac:dyDescent="0.35">
      <c r="A81" s="51"/>
      <c r="B81" s="52"/>
      <c r="C81" s="53"/>
      <c r="D81" s="53"/>
      <c r="E81" s="51"/>
      <c r="F81" s="51"/>
      <c r="G81" s="51"/>
      <c r="H81" s="51"/>
      <c r="I81" s="51"/>
      <c r="J81" s="51"/>
      <c r="K81" s="51"/>
      <c r="L81" s="4"/>
      <c r="M81" s="4"/>
      <c r="N81" s="4"/>
      <c r="O81" s="4"/>
      <c r="P81" s="4"/>
      <c r="Q81" s="4"/>
      <c r="R81" s="3"/>
      <c r="S81" s="3"/>
      <c r="T81" s="4"/>
      <c r="U81" s="4"/>
      <c r="V81" s="4"/>
      <c r="W81" s="4"/>
      <c r="X81" s="4"/>
      <c r="Y81" s="4"/>
      <c r="Z81" s="4"/>
      <c r="AA81" s="4"/>
      <c r="AB81" s="4"/>
      <c r="AC81" s="4"/>
    </row>
    <row r="82" spans="1:29" ht="15" thickBot="1" x14ac:dyDescent="0.35">
      <c r="B82" s="38" t="s">
        <v>35</v>
      </c>
      <c r="C82" s="22">
        <f>SUM(C64:C78)-SUM(D64:D78)</f>
        <v>17</v>
      </c>
    </row>
  </sheetData>
  <autoFilter ref="A3:J38" xr:uid="{6E392464-0CD5-4B6C-9B5A-A4EF4B03C567}"/>
  <conditionalFormatting sqref="F1:F44 F47:F1048576">
    <cfRule type="cellIs" dxfId="319" priority="1" operator="equal">
      <formula>"Non-Billable"</formula>
    </cfRule>
    <cfRule type="cellIs" dxfId="318" priority="2" operator="equal">
      <formula>"Billable"</formula>
    </cfRule>
  </conditionalFormatting>
  <conditionalFormatting sqref="F45">
    <cfRule type="cellIs" dxfId="317" priority="10" operator="equal">
      <formula>"Not Accepting Application"</formula>
    </cfRule>
    <cfRule type="cellIs" dxfId="316" priority="11" operator="equal">
      <formula>"Y"</formula>
    </cfRule>
  </conditionalFormatting>
  <conditionalFormatting sqref="H1:H2 H4:H44 F45 H46:H48 H50:H62 H64:H1048576">
    <cfRule type="cellIs" dxfId="315" priority="8" operator="equal">
      <formula>"Not accpeting applications"</formula>
    </cfRule>
  </conditionalFormatting>
  <conditionalFormatting sqref="H1:H2 H4:H44 H46:H48 H50:H62 AG64:AG82 H64:H1048576">
    <cfRule type="cellIs" dxfId="314" priority="6" operator="equal">
      <formula>"Not Accepting Applications"</formula>
    </cfRule>
  </conditionalFormatting>
  <conditionalFormatting sqref="H4:H44">
    <cfRule type="cellIs" dxfId="313" priority="9" operator="equal">
      <formula>"Accepting Applications"</formula>
    </cfRule>
  </conditionalFormatting>
  <conditionalFormatting sqref="H50:H52">
    <cfRule type="cellIs" dxfId="312" priority="7" operator="equal">
      <formula>"Not accepting applications"</formula>
    </cfRule>
  </conditionalFormatting>
  <conditionalFormatting sqref="H54:H58">
    <cfRule type="cellIs" dxfId="311" priority="12" operator="equal">
      <formula>"Not Accepting Application"</formula>
    </cfRule>
    <cfRule type="cellIs" dxfId="310" priority="13" operator="equal">
      <formula>"Accepting Applications"</formula>
    </cfRule>
    <cfRule type="cellIs" dxfId="309" priority="14" operator="equal">
      <formula>"Y"</formula>
    </cfRule>
  </conditionalFormatting>
  <conditionalFormatting sqref="I1:I44 F45:G45 I47:I1048576">
    <cfRule type="cellIs" dxfId="308" priority="4" operator="equal">
      <formula>"Accepting Applications"</formula>
    </cfRule>
    <cfRule type="cellIs" dxfId="307" priority="5" operator="equal">
      <formula>"Not Accepting Applications"</formula>
    </cfRule>
  </conditionalFormatting>
  <conditionalFormatting sqref="I1:I44 G45 I47:I1048576">
    <cfRule type="cellIs" dxfId="306" priority="3" operator="equal">
      <formula>"Pending"</formula>
    </cfRule>
  </conditionalFormatting>
  <pageMargins left="0.7" right="0.7" top="0.75" bottom="0.75" header="0.3" footer="0.3"/>
  <pageSetup orientation="landscape" horizontalDpi="4294967295" verticalDpi="4294967295"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A84A9-416C-4A10-85C8-C157E6E49768}">
  <sheetPr>
    <tabColor theme="2" tint="-9.9978637043366805E-2"/>
  </sheetPr>
  <dimension ref="A1:AC76"/>
  <sheetViews>
    <sheetView showGridLines="0" zoomScale="90" zoomScaleNormal="90" workbookViewId="0">
      <selection activeCell="C8" sqref="C8"/>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0.35416666666666669</v>
      </c>
      <c r="B1" s="37">
        <v>46048</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19" t="s">
        <v>59</v>
      </c>
      <c r="B4" s="20">
        <v>46043</v>
      </c>
      <c r="C4" s="21">
        <v>5</v>
      </c>
      <c r="D4" s="21">
        <v>4</v>
      </c>
      <c r="E4" s="19" t="s">
        <v>46</v>
      </c>
      <c r="F4" s="19" t="s">
        <v>200</v>
      </c>
      <c r="G4" s="19" t="s">
        <v>7</v>
      </c>
      <c r="H4" s="19" t="s">
        <v>18</v>
      </c>
      <c r="I4" s="19" t="s">
        <v>56</v>
      </c>
      <c r="J4" s="19" t="s">
        <v>49</v>
      </c>
      <c r="K4" s="19" t="s">
        <v>48</v>
      </c>
      <c r="AB4" s="2" t="s">
        <v>10</v>
      </c>
      <c r="AC4" s="2" t="s">
        <v>11</v>
      </c>
    </row>
    <row r="5" spans="1:29" s="2" customFormat="1" x14ac:dyDescent="0.3">
      <c r="A5" s="19" t="s">
        <v>74</v>
      </c>
      <c r="B5" s="20">
        <v>46030</v>
      </c>
      <c r="C5" s="21">
        <v>1</v>
      </c>
      <c r="D5" s="21">
        <v>0</v>
      </c>
      <c r="E5" s="19" t="s">
        <v>75</v>
      </c>
      <c r="F5" s="19" t="s">
        <v>98</v>
      </c>
      <c r="G5" s="19" t="s">
        <v>7</v>
      </c>
      <c r="H5" s="19" t="s">
        <v>76</v>
      </c>
      <c r="I5" s="19" t="s">
        <v>20</v>
      </c>
      <c r="J5" s="19" t="s">
        <v>77</v>
      </c>
      <c r="K5" s="19" t="s">
        <v>13</v>
      </c>
      <c r="AB5" s="2" t="s">
        <v>14</v>
      </c>
      <c r="AC5" s="2">
        <v>17</v>
      </c>
    </row>
    <row r="6" spans="1:29" s="2" customFormat="1" x14ac:dyDescent="0.3">
      <c r="A6" s="19" t="s">
        <v>81</v>
      </c>
      <c r="B6" s="20">
        <v>46034</v>
      </c>
      <c r="C6" s="21">
        <v>2</v>
      </c>
      <c r="D6" s="21">
        <v>0</v>
      </c>
      <c r="E6" s="19" t="s">
        <v>41</v>
      </c>
      <c r="F6" s="19" t="s">
        <v>98</v>
      </c>
      <c r="G6" s="19" t="s">
        <v>7</v>
      </c>
      <c r="H6" s="19" t="s">
        <v>18</v>
      </c>
      <c r="I6" s="19" t="s">
        <v>56</v>
      </c>
      <c r="J6" s="19" t="s">
        <v>82</v>
      </c>
      <c r="K6" s="19" t="s">
        <v>22</v>
      </c>
      <c r="N6" s="10"/>
      <c r="AB6" s="2" t="s">
        <v>15</v>
      </c>
      <c r="AC6" s="2">
        <v>3</v>
      </c>
    </row>
    <row r="7" spans="1:29" s="2" customFormat="1" x14ac:dyDescent="0.3">
      <c r="A7" s="19" t="s">
        <v>85</v>
      </c>
      <c r="B7" s="20">
        <v>45971</v>
      </c>
      <c r="C7" s="21">
        <v>1</v>
      </c>
      <c r="D7" s="21">
        <v>0</v>
      </c>
      <c r="E7" s="19" t="s">
        <v>86</v>
      </c>
      <c r="F7" s="19" t="s">
        <v>98</v>
      </c>
      <c r="G7" s="19" t="s">
        <v>7</v>
      </c>
      <c r="H7" s="19" t="s">
        <v>23</v>
      </c>
      <c r="I7" s="19" t="s">
        <v>20</v>
      </c>
      <c r="J7" s="19" t="s">
        <v>42</v>
      </c>
      <c r="K7" s="19" t="s">
        <v>13</v>
      </c>
      <c r="N7" s="10"/>
      <c r="V7" s="11"/>
      <c r="AB7" s="2" t="s">
        <v>16</v>
      </c>
      <c r="AC7" s="2">
        <v>4</v>
      </c>
    </row>
    <row r="8" spans="1:29" s="2" customFormat="1" x14ac:dyDescent="0.3">
      <c r="A8" s="19" t="s">
        <v>89</v>
      </c>
      <c r="B8" s="20">
        <v>45982</v>
      </c>
      <c r="C8" s="21">
        <v>1</v>
      </c>
      <c r="D8" s="21">
        <v>0</v>
      </c>
      <c r="E8" s="19" t="s">
        <v>90</v>
      </c>
      <c r="F8" s="19" t="s">
        <v>98</v>
      </c>
      <c r="G8" s="19" t="s">
        <v>7</v>
      </c>
      <c r="H8" s="19" t="s">
        <v>64</v>
      </c>
      <c r="I8" s="19" t="s">
        <v>9</v>
      </c>
      <c r="J8" s="19" t="s">
        <v>26</v>
      </c>
      <c r="K8" s="19" t="s">
        <v>91</v>
      </c>
      <c r="N8" s="10"/>
    </row>
    <row r="9" spans="1:29" s="2" customFormat="1" x14ac:dyDescent="0.3">
      <c r="A9" s="19" t="s">
        <v>92</v>
      </c>
      <c r="B9" s="20">
        <v>45971</v>
      </c>
      <c r="C9" s="21">
        <v>1</v>
      </c>
      <c r="D9" s="21">
        <v>0</v>
      </c>
      <c r="E9" s="19" t="s">
        <v>93</v>
      </c>
      <c r="F9" s="19" t="s">
        <v>98</v>
      </c>
      <c r="G9" s="19" t="s">
        <v>7</v>
      </c>
      <c r="H9" s="19" t="s">
        <v>94</v>
      </c>
      <c r="I9" s="19" t="s">
        <v>9</v>
      </c>
      <c r="J9" s="19" t="s">
        <v>95</v>
      </c>
      <c r="K9" s="19" t="s">
        <v>91</v>
      </c>
      <c r="N9" s="10"/>
    </row>
    <row r="10" spans="1:29" s="2" customFormat="1" x14ac:dyDescent="0.3">
      <c r="A10" s="19" t="s">
        <v>96</v>
      </c>
      <c r="B10" s="20">
        <v>45974</v>
      </c>
      <c r="C10" s="21">
        <v>1</v>
      </c>
      <c r="D10" s="21">
        <v>0</v>
      </c>
      <c r="E10" s="19" t="s">
        <v>97</v>
      </c>
      <c r="F10" s="19" t="s">
        <v>98</v>
      </c>
      <c r="G10" s="19" t="s">
        <v>7</v>
      </c>
      <c r="H10" s="19" t="s">
        <v>23</v>
      </c>
      <c r="I10" s="19" t="s">
        <v>9</v>
      </c>
      <c r="J10" s="19" t="s">
        <v>95</v>
      </c>
      <c r="K10" s="19" t="s">
        <v>13</v>
      </c>
      <c r="N10" s="10"/>
    </row>
    <row r="11" spans="1:29" s="2" customFormat="1" x14ac:dyDescent="0.3">
      <c r="A11" s="19" t="s">
        <v>99</v>
      </c>
      <c r="B11" s="20">
        <v>45972</v>
      </c>
      <c r="C11" s="21">
        <v>1</v>
      </c>
      <c r="D11" s="21">
        <v>0</v>
      </c>
      <c r="E11" s="19" t="s">
        <v>166</v>
      </c>
      <c r="F11" s="19" t="s">
        <v>98</v>
      </c>
      <c r="G11" s="19" t="s">
        <v>7</v>
      </c>
      <c r="H11" s="19" t="s">
        <v>44</v>
      </c>
      <c r="I11" s="19" t="s">
        <v>20</v>
      </c>
      <c r="J11" s="19" t="s">
        <v>166</v>
      </c>
      <c r="K11" s="19" t="s">
        <v>13</v>
      </c>
    </row>
    <row r="12" spans="1:29" s="2" customFormat="1" x14ac:dyDescent="0.3">
      <c r="A12" s="19" t="s">
        <v>100</v>
      </c>
      <c r="B12" s="20">
        <v>46038</v>
      </c>
      <c r="C12" s="21">
        <v>2</v>
      </c>
      <c r="D12" s="21">
        <v>1</v>
      </c>
      <c r="E12" s="19" t="s">
        <v>101</v>
      </c>
      <c r="F12" s="19" t="s">
        <v>98</v>
      </c>
      <c r="G12" s="19" t="s">
        <v>7</v>
      </c>
      <c r="H12" s="19" t="s">
        <v>18</v>
      </c>
      <c r="I12" s="19" t="s">
        <v>56</v>
      </c>
      <c r="J12" s="19" t="s">
        <v>103</v>
      </c>
      <c r="K12" s="19" t="s">
        <v>21</v>
      </c>
    </row>
    <row r="13" spans="1:29" s="2" customFormat="1" x14ac:dyDescent="0.3">
      <c r="A13" s="19" t="s">
        <v>116</v>
      </c>
      <c r="B13" s="20">
        <v>46037</v>
      </c>
      <c r="C13" s="21">
        <v>1</v>
      </c>
      <c r="D13" s="21">
        <v>0</v>
      </c>
      <c r="E13" s="19" t="s">
        <v>54</v>
      </c>
      <c r="F13" s="19" t="s">
        <v>200</v>
      </c>
      <c r="G13" s="19" t="s">
        <v>7</v>
      </c>
      <c r="H13" s="19" t="s">
        <v>47</v>
      </c>
      <c r="I13" s="19" t="s">
        <v>9</v>
      </c>
      <c r="J13" s="19" t="s">
        <v>117</v>
      </c>
      <c r="K13" s="19" t="s">
        <v>118</v>
      </c>
    </row>
    <row r="14" spans="1:29" s="2" customFormat="1" x14ac:dyDescent="0.3">
      <c r="A14" s="19" t="s">
        <v>122</v>
      </c>
      <c r="B14" s="20">
        <v>46031</v>
      </c>
      <c r="C14" s="21">
        <v>2</v>
      </c>
      <c r="D14" s="21">
        <v>0</v>
      </c>
      <c r="E14" s="19" t="s">
        <v>123</v>
      </c>
      <c r="F14" s="19" t="s">
        <v>98</v>
      </c>
      <c r="G14" s="19" t="s">
        <v>7</v>
      </c>
      <c r="H14" s="19" t="s">
        <v>23</v>
      </c>
      <c r="I14" s="19" t="s">
        <v>9</v>
      </c>
      <c r="J14" s="19" t="s">
        <v>121</v>
      </c>
      <c r="K14" s="19" t="s">
        <v>13</v>
      </c>
    </row>
    <row r="15" spans="1:29" s="2" customFormat="1" x14ac:dyDescent="0.3">
      <c r="A15" s="19" t="s">
        <v>128</v>
      </c>
      <c r="B15" s="20">
        <v>46035</v>
      </c>
      <c r="C15" s="21">
        <v>1</v>
      </c>
      <c r="D15" s="21">
        <v>0</v>
      </c>
      <c r="E15" s="19" t="s">
        <v>129</v>
      </c>
      <c r="F15" s="19" t="s">
        <v>200</v>
      </c>
      <c r="G15" s="19" t="s">
        <v>7</v>
      </c>
      <c r="H15" s="19" t="s">
        <v>64</v>
      </c>
      <c r="I15" s="19" t="s">
        <v>9</v>
      </c>
      <c r="J15" s="19" t="s">
        <v>65</v>
      </c>
      <c r="K15" s="19" t="s">
        <v>48</v>
      </c>
    </row>
    <row r="16" spans="1:29" s="2" customFormat="1" x14ac:dyDescent="0.3">
      <c r="A16" s="19" t="s">
        <v>135</v>
      </c>
      <c r="B16" s="20">
        <v>46020</v>
      </c>
      <c r="C16" s="21">
        <v>1</v>
      </c>
      <c r="D16" s="21">
        <v>0</v>
      </c>
      <c r="E16" s="19" t="s">
        <v>136</v>
      </c>
      <c r="F16" s="19" t="s">
        <v>200</v>
      </c>
      <c r="G16" s="19" t="s">
        <v>7</v>
      </c>
      <c r="H16" s="19" t="s">
        <v>23</v>
      </c>
      <c r="I16" s="19" t="s">
        <v>9</v>
      </c>
      <c r="J16" s="19" t="s">
        <v>137</v>
      </c>
      <c r="K16" s="19" t="s">
        <v>13</v>
      </c>
    </row>
    <row r="17" spans="1:11" s="2" customFormat="1" x14ac:dyDescent="0.3">
      <c r="A17" s="19" t="s">
        <v>138</v>
      </c>
      <c r="B17" s="20">
        <v>46006</v>
      </c>
      <c r="C17" s="21">
        <v>5</v>
      </c>
      <c r="D17" s="21">
        <v>0</v>
      </c>
      <c r="E17" s="19" t="s">
        <v>45</v>
      </c>
      <c r="F17" s="19" t="s">
        <v>200</v>
      </c>
      <c r="G17" s="19" t="s">
        <v>7</v>
      </c>
      <c r="H17" s="19" t="s">
        <v>139</v>
      </c>
      <c r="I17" s="19" t="s">
        <v>20</v>
      </c>
      <c r="J17" s="19" t="s">
        <v>140</v>
      </c>
      <c r="K17" s="19" t="s">
        <v>22</v>
      </c>
    </row>
    <row r="18" spans="1:11" s="2" customFormat="1" x14ac:dyDescent="0.3">
      <c r="A18" s="19" t="s">
        <v>141</v>
      </c>
      <c r="B18" s="20">
        <v>46006</v>
      </c>
      <c r="C18" s="21">
        <v>4</v>
      </c>
      <c r="D18" s="21">
        <v>0</v>
      </c>
      <c r="E18" s="19" t="s">
        <v>142</v>
      </c>
      <c r="F18" s="19" t="s">
        <v>200</v>
      </c>
      <c r="G18" s="19" t="s">
        <v>7</v>
      </c>
      <c r="H18" s="19" t="s">
        <v>139</v>
      </c>
      <c r="I18" s="19" t="s">
        <v>20</v>
      </c>
      <c r="J18" s="19" t="s">
        <v>140</v>
      </c>
      <c r="K18" s="19" t="s">
        <v>22</v>
      </c>
    </row>
    <row r="19" spans="1:11" s="2" customFormat="1" x14ac:dyDescent="0.3">
      <c r="A19" s="19" t="s">
        <v>143</v>
      </c>
      <c r="B19" s="20">
        <v>46014</v>
      </c>
      <c r="C19" s="21">
        <v>2</v>
      </c>
      <c r="D19" s="21">
        <v>1</v>
      </c>
      <c r="E19" s="19" t="s">
        <v>29</v>
      </c>
      <c r="F19" s="19" t="s">
        <v>200</v>
      </c>
      <c r="G19" s="19" t="s">
        <v>7</v>
      </c>
      <c r="H19" s="19" t="s">
        <v>18</v>
      </c>
      <c r="I19" s="19" t="s">
        <v>56</v>
      </c>
      <c r="J19" s="19" t="s">
        <v>140</v>
      </c>
      <c r="K19" s="19" t="s">
        <v>22</v>
      </c>
    </row>
    <row r="20" spans="1:11" s="2" customFormat="1" x14ac:dyDescent="0.3">
      <c r="A20" s="19" t="s">
        <v>146</v>
      </c>
      <c r="B20" s="20">
        <v>46013</v>
      </c>
      <c r="C20" s="21">
        <v>1</v>
      </c>
      <c r="D20" s="21">
        <v>0</v>
      </c>
      <c r="E20" s="19" t="s">
        <v>147</v>
      </c>
      <c r="F20" s="19" t="s">
        <v>98</v>
      </c>
      <c r="G20" s="19" t="s">
        <v>7</v>
      </c>
      <c r="H20" s="19" t="s">
        <v>18</v>
      </c>
      <c r="I20" s="19" t="s">
        <v>56</v>
      </c>
      <c r="J20" s="19" t="s">
        <v>149</v>
      </c>
      <c r="K20" s="19" t="s">
        <v>13</v>
      </c>
    </row>
    <row r="21" spans="1:11" s="2" customFormat="1" ht="15" customHeight="1" x14ac:dyDescent="0.3">
      <c r="A21" s="19" t="s">
        <v>150</v>
      </c>
      <c r="B21" s="20">
        <v>46013</v>
      </c>
      <c r="C21" s="21">
        <v>1</v>
      </c>
      <c r="D21" s="21">
        <v>0</v>
      </c>
      <c r="E21" s="19" t="s">
        <v>151</v>
      </c>
      <c r="F21" s="19" t="s">
        <v>98</v>
      </c>
      <c r="G21" s="19" t="s">
        <v>7</v>
      </c>
      <c r="H21" s="19" t="s">
        <v>148</v>
      </c>
      <c r="I21" s="19" t="s">
        <v>9</v>
      </c>
      <c r="J21" s="19" t="s">
        <v>149</v>
      </c>
      <c r="K21" s="19" t="s">
        <v>13</v>
      </c>
    </row>
    <row r="22" spans="1:11" s="2" customFormat="1" ht="13.95" customHeight="1" x14ac:dyDescent="0.3">
      <c r="A22" s="19" t="s">
        <v>152</v>
      </c>
      <c r="B22" s="20">
        <v>46006</v>
      </c>
      <c r="C22" s="21">
        <v>1</v>
      </c>
      <c r="D22" s="21">
        <v>0</v>
      </c>
      <c r="E22" s="19" t="s">
        <v>153</v>
      </c>
      <c r="F22" s="19" t="s">
        <v>200</v>
      </c>
      <c r="G22" s="19" t="s">
        <v>7</v>
      </c>
      <c r="H22" s="19" t="s">
        <v>33</v>
      </c>
      <c r="I22" s="19" t="s">
        <v>20</v>
      </c>
      <c r="J22" s="19" t="s">
        <v>77</v>
      </c>
      <c r="K22" s="19" t="s">
        <v>13</v>
      </c>
    </row>
    <row r="23" spans="1:11" s="2" customFormat="1" x14ac:dyDescent="0.3">
      <c r="A23" s="19" t="s">
        <v>154</v>
      </c>
      <c r="B23" s="20">
        <v>46015</v>
      </c>
      <c r="C23" s="21">
        <v>1</v>
      </c>
      <c r="D23" s="21">
        <v>0</v>
      </c>
      <c r="E23" s="19" t="s">
        <v>155</v>
      </c>
      <c r="F23" s="19" t="s">
        <v>98</v>
      </c>
      <c r="G23" s="19" t="s">
        <v>7</v>
      </c>
      <c r="H23" s="19" t="s">
        <v>47</v>
      </c>
      <c r="I23" s="19" t="s">
        <v>9</v>
      </c>
      <c r="J23" s="19" t="s">
        <v>156</v>
      </c>
      <c r="K23" s="19" t="s">
        <v>13</v>
      </c>
    </row>
    <row r="24" spans="1:11" s="2" customFormat="1" x14ac:dyDescent="0.3">
      <c r="A24" s="19" t="s">
        <v>157</v>
      </c>
      <c r="B24" s="20">
        <v>46020</v>
      </c>
      <c r="C24" s="21">
        <v>1</v>
      </c>
      <c r="D24" s="21">
        <v>0</v>
      </c>
      <c r="E24" s="19" t="s">
        <v>158</v>
      </c>
      <c r="F24" s="19" t="s">
        <v>98</v>
      </c>
      <c r="G24" s="19" t="s">
        <v>7</v>
      </c>
      <c r="H24" s="19" t="s">
        <v>17</v>
      </c>
      <c r="I24" s="19" t="s">
        <v>9</v>
      </c>
      <c r="J24" s="19" t="s">
        <v>159</v>
      </c>
      <c r="K24" s="19" t="s">
        <v>28</v>
      </c>
    </row>
    <row r="25" spans="1:11" s="2" customFormat="1" x14ac:dyDescent="0.3">
      <c r="A25" s="19" t="s">
        <v>160</v>
      </c>
      <c r="B25" s="20">
        <v>46020</v>
      </c>
      <c r="C25" s="21">
        <v>1</v>
      </c>
      <c r="D25" s="21">
        <v>0</v>
      </c>
      <c r="E25" s="19" t="s">
        <v>161</v>
      </c>
      <c r="F25" s="19" t="s">
        <v>200</v>
      </c>
      <c r="G25" s="19" t="s">
        <v>7</v>
      </c>
      <c r="H25" s="19" t="s">
        <v>18</v>
      </c>
      <c r="I25" s="19" t="s">
        <v>56</v>
      </c>
      <c r="J25" s="19" t="s">
        <v>137</v>
      </c>
      <c r="K25" s="19" t="s">
        <v>13</v>
      </c>
    </row>
    <row r="26" spans="1:11" s="2" customFormat="1" ht="15" customHeight="1" x14ac:dyDescent="0.3">
      <c r="A26" s="19" t="s">
        <v>162</v>
      </c>
      <c r="B26" s="20">
        <v>46019</v>
      </c>
      <c r="C26" s="21">
        <v>1</v>
      </c>
      <c r="D26" s="21">
        <v>0</v>
      </c>
      <c r="E26" s="19" t="s">
        <v>166</v>
      </c>
      <c r="F26" s="19" t="s">
        <v>200</v>
      </c>
      <c r="G26" s="19" t="s">
        <v>7</v>
      </c>
      <c r="H26" s="19" t="s">
        <v>33</v>
      </c>
      <c r="I26" s="19" t="s">
        <v>20</v>
      </c>
      <c r="J26" s="19" t="s">
        <v>166</v>
      </c>
      <c r="K26" s="19" t="s">
        <v>13</v>
      </c>
    </row>
    <row r="27" spans="1:11" s="2" customFormat="1" x14ac:dyDescent="0.3">
      <c r="A27" s="19" t="s">
        <v>172</v>
      </c>
      <c r="B27" s="20">
        <v>46044</v>
      </c>
      <c r="C27" s="21">
        <v>1</v>
      </c>
      <c r="D27" s="21">
        <v>0</v>
      </c>
      <c r="E27" s="19" t="s">
        <v>173</v>
      </c>
      <c r="F27" s="19" t="s">
        <v>98</v>
      </c>
      <c r="G27" s="19" t="s">
        <v>7</v>
      </c>
      <c r="H27" s="19" t="s">
        <v>33</v>
      </c>
      <c r="I27" s="19" t="s">
        <v>20</v>
      </c>
      <c r="J27" s="19" t="s">
        <v>175</v>
      </c>
      <c r="K27" s="19" t="s">
        <v>176</v>
      </c>
    </row>
    <row r="28" spans="1:11" s="2" customFormat="1" x14ac:dyDescent="0.3">
      <c r="A28" s="19" t="s">
        <v>163</v>
      </c>
      <c r="B28" s="20">
        <v>46030</v>
      </c>
      <c r="C28" s="21">
        <v>1</v>
      </c>
      <c r="D28" s="21">
        <v>0</v>
      </c>
      <c r="E28" s="19" t="s">
        <v>164</v>
      </c>
      <c r="F28" s="19" t="s">
        <v>98</v>
      </c>
      <c r="G28" s="19" t="s">
        <v>7</v>
      </c>
      <c r="H28" s="19" t="s">
        <v>17</v>
      </c>
      <c r="I28" s="19" t="s">
        <v>9</v>
      </c>
      <c r="J28" s="19" t="s">
        <v>165</v>
      </c>
      <c r="K28" s="19" t="s">
        <v>13</v>
      </c>
    </row>
    <row r="29" spans="1:11" s="2" customFormat="1" x14ac:dyDescent="0.3">
      <c r="A29" s="19" t="s">
        <v>184</v>
      </c>
      <c r="B29" s="20">
        <v>46045</v>
      </c>
      <c r="C29" s="21">
        <v>1</v>
      </c>
      <c r="D29" s="21">
        <v>0</v>
      </c>
      <c r="E29" s="19" t="s">
        <v>164</v>
      </c>
      <c r="F29" s="19" t="s">
        <v>98</v>
      </c>
      <c r="G29" s="19" t="s">
        <v>7</v>
      </c>
      <c r="H29" s="19" t="s">
        <v>18</v>
      </c>
      <c r="I29" s="19" t="s">
        <v>56</v>
      </c>
      <c r="J29" s="19" t="s">
        <v>186</v>
      </c>
      <c r="K29" s="19" t="s">
        <v>22</v>
      </c>
    </row>
    <row r="30" spans="1:11" s="2" customFormat="1" x14ac:dyDescent="0.3">
      <c r="A30" s="19" t="s">
        <v>188</v>
      </c>
      <c r="B30" s="20">
        <v>46036</v>
      </c>
      <c r="C30" s="21">
        <v>1</v>
      </c>
      <c r="D30" s="21">
        <v>0</v>
      </c>
      <c r="E30" s="19" t="s">
        <v>41</v>
      </c>
      <c r="F30" s="19" t="s">
        <v>98</v>
      </c>
      <c r="G30" s="19" t="s">
        <v>7</v>
      </c>
      <c r="H30" s="19" t="s">
        <v>18</v>
      </c>
      <c r="I30" s="19" t="s">
        <v>56</v>
      </c>
      <c r="J30" s="19" t="s">
        <v>82</v>
      </c>
      <c r="K30" s="19" t="s">
        <v>22</v>
      </c>
    </row>
    <row r="31" spans="1:11" s="2" customFormat="1" x14ac:dyDescent="0.3">
      <c r="A31" s="19" t="s">
        <v>197</v>
      </c>
      <c r="B31" s="20">
        <v>46043</v>
      </c>
      <c r="C31" s="21">
        <v>1</v>
      </c>
      <c r="D31" s="21">
        <v>0</v>
      </c>
      <c r="E31" s="19" t="s">
        <v>93</v>
      </c>
      <c r="F31" s="19" t="s">
        <v>98</v>
      </c>
      <c r="G31" s="19" t="s">
        <v>7</v>
      </c>
      <c r="H31" s="19" t="s">
        <v>219</v>
      </c>
      <c r="I31" s="19" t="s">
        <v>20</v>
      </c>
      <c r="J31" s="19" t="s">
        <v>140</v>
      </c>
      <c r="K31" s="19" t="s">
        <v>22</v>
      </c>
    </row>
    <row r="32" spans="1:11" s="2" customFormat="1" x14ac:dyDescent="0.3">
      <c r="A32" s="19" t="s">
        <v>198</v>
      </c>
      <c r="B32" s="20">
        <v>46045</v>
      </c>
      <c r="C32" s="21">
        <v>1</v>
      </c>
      <c r="D32" s="21">
        <v>0</v>
      </c>
      <c r="E32" s="19" t="s">
        <v>199</v>
      </c>
      <c r="F32" s="19" t="s">
        <v>200</v>
      </c>
      <c r="G32" s="19" t="s">
        <v>7</v>
      </c>
      <c r="H32" s="19" t="s">
        <v>33</v>
      </c>
      <c r="I32" s="19" t="s">
        <v>20</v>
      </c>
      <c r="J32" s="19" t="s">
        <v>12</v>
      </c>
      <c r="K32" s="19" t="s">
        <v>24</v>
      </c>
    </row>
    <row r="33" spans="1:19" s="2" customFormat="1" x14ac:dyDescent="0.3">
      <c r="A33" s="19" t="s">
        <v>202</v>
      </c>
      <c r="B33" s="20">
        <v>46042</v>
      </c>
      <c r="C33" s="21">
        <v>1</v>
      </c>
      <c r="D33" s="21">
        <v>0</v>
      </c>
      <c r="E33" s="19" t="s">
        <v>54</v>
      </c>
      <c r="F33" s="19" t="s">
        <v>98</v>
      </c>
      <c r="G33" s="19" t="s">
        <v>7</v>
      </c>
      <c r="H33" s="19" t="s">
        <v>17</v>
      </c>
      <c r="I33" s="19" t="s">
        <v>9</v>
      </c>
      <c r="J33" s="19" t="s">
        <v>203</v>
      </c>
      <c r="K33" s="19" t="s">
        <v>19</v>
      </c>
    </row>
    <row r="34" spans="1:19" s="2" customFormat="1" x14ac:dyDescent="0.3">
      <c r="A34" s="19" t="s">
        <v>204</v>
      </c>
      <c r="B34" s="20">
        <v>46045</v>
      </c>
      <c r="C34" s="21">
        <v>1</v>
      </c>
      <c r="D34" s="21">
        <v>0</v>
      </c>
      <c r="E34" s="19" t="s">
        <v>205</v>
      </c>
      <c r="F34" s="19" t="s">
        <v>98</v>
      </c>
      <c r="G34" s="19" t="s">
        <v>7</v>
      </c>
      <c r="H34" s="19" t="s">
        <v>183</v>
      </c>
      <c r="I34" s="19" t="s">
        <v>20</v>
      </c>
      <c r="J34" s="19" t="s">
        <v>206</v>
      </c>
      <c r="K34" s="19" t="s">
        <v>13</v>
      </c>
    </row>
    <row r="35" spans="1:19" s="2" customFormat="1" x14ac:dyDescent="0.3">
      <c r="A35" s="19" t="s">
        <v>207</v>
      </c>
      <c r="B35" s="20">
        <v>46043</v>
      </c>
      <c r="C35" s="21">
        <v>1</v>
      </c>
      <c r="D35" s="21">
        <v>0</v>
      </c>
      <c r="E35" s="19" t="s">
        <v>208</v>
      </c>
      <c r="F35" s="19" t="s">
        <v>98</v>
      </c>
      <c r="G35" s="19" t="s">
        <v>7</v>
      </c>
      <c r="H35" s="19" t="s">
        <v>18</v>
      </c>
      <c r="I35" s="19" t="s">
        <v>56</v>
      </c>
      <c r="J35" s="19" t="s">
        <v>117</v>
      </c>
      <c r="K35" s="19" t="s">
        <v>13</v>
      </c>
    </row>
    <row r="36" spans="1:19" s="2" customFormat="1" x14ac:dyDescent="0.3">
      <c r="A36" s="19" t="s">
        <v>209</v>
      </c>
      <c r="B36" s="20">
        <v>46045</v>
      </c>
      <c r="C36" s="21">
        <v>1</v>
      </c>
      <c r="D36" s="21">
        <v>0</v>
      </c>
      <c r="E36" s="19" t="s">
        <v>210</v>
      </c>
      <c r="F36" s="19" t="s">
        <v>98</v>
      </c>
      <c r="G36" s="19" t="s">
        <v>7</v>
      </c>
      <c r="H36" s="19" t="s">
        <v>183</v>
      </c>
      <c r="I36" s="19" t="s">
        <v>20</v>
      </c>
      <c r="J36" s="19" t="s">
        <v>206</v>
      </c>
      <c r="K36" s="19" t="s">
        <v>13</v>
      </c>
    </row>
    <row r="37" spans="1:19" s="2" customFormat="1" ht="14.25" customHeight="1" x14ac:dyDescent="0.3">
      <c r="A37" s="19" t="s">
        <v>211</v>
      </c>
      <c r="B37" s="20">
        <v>46038</v>
      </c>
      <c r="C37" s="21">
        <v>1</v>
      </c>
      <c r="D37" s="21">
        <v>0</v>
      </c>
      <c r="E37" s="19" t="s">
        <v>25</v>
      </c>
      <c r="F37" s="19" t="s">
        <v>200</v>
      </c>
      <c r="G37" s="19" t="s">
        <v>7</v>
      </c>
      <c r="H37" s="19" t="s">
        <v>18</v>
      </c>
      <c r="I37" s="19" t="s">
        <v>56</v>
      </c>
      <c r="J37" s="19" t="s">
        <v>105</v>
      </c>
      <c r="K37" s="19" t="s">
        <v>43</v>
      </c>
    </row>
    <row r="38" spans="1:19" s="2" customFormat="1" ht="14.25" customHeight="1" x14ac:dyDescent="0.3">
      <c r="A38" s="19" t="s">
        <v>213</v>
      </c>
      <c r="B38" s="20">
        <v>46043</v>
      </c>
      <c r="C38" s="21">
        <v>2</v>
      </c>
      <c r="D38" s="21">
        <v>0</v>
      </c>
      <c r="E38" s="19" t="s">
        <v>214</v>
      </c>
      <c r="F38" s="19" t="s">
        <v>200</v>
      </c>
      <c r="G38" s="19" t="s">
        <v>7</v>
      </c>
      <c r="H38" s="19" t="s">
        <v>220</v>
      </c>
      <c r="I38" s="19" t="s">
        <v>20</v>
      </c>
      <c r="J38" s="19" t="s">
        <v>215</v>
      </c>
      <c r="K38" s="19" t="s">
        <v>216</v>
      </c>
    </row>
    <row r="39" spans="1:19" s="2" customFormat="1" ht="13.95" customHeight="1" x14ac:dyDescent="0.3">
      <c r="A39" s="19" t="s">
        <v>228</v>
      </c>
      <c r="B39" s="20">
        <v>46045</v>
      </c>
      <c r="C39" s="21">
        <v>1</v>
      </c>
      <c r="D39" s="21">
        <v>0</v>
      </c>
      <c r="E39" s="19" t="s">
        <v>30</v>
      </c>
      <c r="F39" s="19" t="s">
        <v>200</v>
      </c>
      <c r="G39" s="19" t="s">
        <v>7</v>
      </c>
      <c r="H39" s="19" t="s">
        <v>8</v>
      </c>
      <c r="I39" s="19" t="s">
        <v>9</v>
      </c>
      <c r="J39" s="19" t="s">
        <v>12</v>
      </c>
      <c r="K39" s="19" t="s">
        <v>24</v>
      </c>
    </row>
    <row r="40" spans="1:19" s="2" customFormat="1" ht="13.95" hidden="1" customHeight="1" x14ac:dyDescent="0.3">
      <c r="A40" s="19"/>
      <c r="B40" s="20"/>
      <c r="C40" s="21"/>
      <c r="D40" s="21"/>
      <c r="E40" s="19"/>
      <c r="F40" s="58"/>
      <c r="G40" s="19"/>
      <c r="H40" s="19"/>
      <c r="I40" s="19"/>
      <c r="J40" s="19"/>
      <c r="K40" s="19"/>
    </row>
    <row r="41" spans="1:19" s="2" customFormat="1" ht="13.95" hidden="1" customHeight="1" x14ac:dyDescent="0.3">
      <c r="A41" s="43"/>
      <c r="B41" s="44"/>
      <c r="C41" s="45"/>
      <c r="D41" s="45"/>
      <c r="E41" s="43"/>
      <c r="F41" s="43"/>
      <c r="G41" s="43"/>
      <c r="H41" s="43"/>
      <c r="I41" s="43"/>
      <c r="J41" s="43"/>
      <c r="K41" s="43"/>
    </row>
    <row r="42" spans="1:19" s="2" customFormat="1" ht="13.95" hidden="1" customHeight="1" x14ac:dyDescent="0.3">
      <c r="A42" s="43"/>
      <c r="B42" s="44"/>
      <c r="C42" s="45"/>
      <c r="D42" s="45"/>
      <c r="E42" s="43"/>
      <c r="F42" s="43"/>
      <c r="G42" s="43"/>
      <c r="H42" s="43"/>
      <c r="I42" s="43"/>
      <c r="J42" s="43"/>
      <c r="K42" s="43"/>
    </row>
    <row r="43" spans="1:19" s="2" customFormat="1" ht="14.25" hidden="1" customHeight="1" x14ac:dyDescent="0.3">
      <c r="A43" s="43"/>
      <c r="B43" s="44"/>
      <c r="C43" s="45"/>
      <c r="D43" s="45"/>
      <c r="E43" s="43"/>
      <c r="F43" s="43"/>
      <c r="G43" s="43"/>
      <c r="H43" s="43"/>
      <c r="I43" s="43"/>
      <c r="J43" s="43"/>
      <c r="K43" s="43"/>
    </row>
    <row r="44" spans="1:19" s="2" customFormat="1" ht="14.25" hidden="1" customHeight="1" x14ac:dyDescent="0.3">
      <c r="A44" s="43"/>
      <c r="B44" s="44"/>
      <c r="C44" s="45"/>
      <c r="D44" s="45"/>
      <c r="E44" s="43"/>
      <c r="F44" s="43"/>
      <c r="G44" s="43"/>
      <c r="H44" s="43"/>
      <c r="I44" s="43"/>
      <c r="J44" s="43"/>
      <c r="K44" s="43"/>
    </row>
    <row r="45" spans="1:19" ht="15" thickBot="1" x14ac:dyDescent="0.35">
      <c r="A45" s="40"/>
      <c r="B45" s="41"/>
      <c r="C45" s="42"/>
      <c r="D45" s="42"/>
      <c r="E45" s="40"/>
      <c r="F45" s="40"/>
      <c r="G45" s="40"/>
      <c r="H45" s="40"/>
      <c r="I45" s="40"/>
      <c r="J45" s="40"/>
      <c r="K45" s="40"/>
      <c r="P45" s="3"/>
      <c r="Q45" s="3"/>
      <c r="R45" s="4"/>
      <c r="S45" s="4"/>
    </row>
    <row r="46" spans="1:19" ht="15" thickBot="1" x14ac:dyDescent="0.35">
      <c r="B46" s="34" t="s">
        <v>31</v>
      </c>
      <c r="C46" s="12">
        <f>SUM(C4:C39)-SUM(D4:D39)</f>
        <v>46</v>
      </c>
      <c r="D46" s="29"/>
      <c r="F46" s="35" t="s">
        <v>57</v>
      </c>
      <c r="G46" s="36">
        <f>COUNTIF(I4:I41,"Pending")</f>
        <v>10</v>
      </c>
      <c r="I46" s="38" t="s">
        <v>58</v>
      </c>
      <c r="J46" s="39">
        <f>C46-G46</f>
        <v>36</v>
      </c>
    </row>
    <row r="47" spans="1:19" x14ac:dyDescent="0.3">
      <c r="G47" s="3"/>
      <c r="H47" s="4"/>
      <c r="I47" s="3"/>
    </row>
    <row r="48" spans="1:19" hidden="1" x14ac:dyDescent="0.3">
      <c r="D48" s="13"/>
    </row>
    <row r="49" spans="1:11" s="6" customFormat="1" ht="28.8" x14ac:dyDescent="0.3">
      <c r="A49" s="28" t="s">
        <v>0</v>
      </c>
      <c r="B49" s="28" t="s">
        <v>1</v>
      </c>
      <c r="C49" s="28" t="s">
        <v>2</v>
      </c>
      <c r="D49" s="28" t="s">
        <v>3</v>
      </c>
      <c r="E49" s="28" t="s">
        <v>4</v>
      </c>
      <c r="F49" s="28" t="s">
        <v>51</v>
      </c>
      <c r="G49" s="28" t="s">
        <v>52</v>
      </c>
      <c r="H49" s="28" t="s">
        <v>5</v>
      </c>
      <c r="I49" s="28" t="s">
        <v>53</v>
      </c>
      <c r="J49" s="28" t="s">
        <v>27</v>
      </c>
      <c r="K49" s="28" t="s">
        <v>6</v>
      </c>
    </row>
    <row r="50" spans="1:11" s="14" customFormat="1" x14ac:dyDescent="0.3">
      <c r="A50" s="19" t="s">
        <v>170</v>
      </c>
      <c r="B50" s="20">
        <v>46013</v>
      </c>
      <c r="C50" s="21">
        <v>1</v>
      </c>
      <c r="D50" s="21">
        <v>0</v>
      </c>
      <c r="E50" s="19" t="s">
        <v>171</v>
      </c>
      <c r="F50" s="59" t="s">
        <v>131</v>
      </c>
      <c r="G50" s="19" t="s">
        <v>32</v>
      </c>
      <c r="H50" s="19" t="s">
        <v>148</v>
      </c>
      <c r="I50" s="19" t="s">
        <v>20</v>
      </c>
      <c r="J50" s="19" t="s">
        <v>105</v>
      </c>
      <c r="K50" s="19" t="s">
        <v>19</v>
      </c>
    </row>
    <row r="51" spans="1:11" s="14" customFormat="1" hidden="1" x14ac:dyDescent="0.3">
      <c r="A51" s="7"/>
      <c r="B51" s="8"/>
      <c r="C51" s="9"/>
      <c r="D51" s="9"/>
      <c r="E51" s="7"/>
      <c r="F51" s="7"/>
      <c r="G51" s="7"/>
      <c r="H51" s="7"/>
      <c r="I51" s="7"/>
      <c r="J51" s="7"/>
      <c r="K51" s="7"/>
    </row>
    <row r="52" spans="1:11" s="14" customFormat="1" ht="15" hidden="1" customHeight="1" x14ac:dyDescent="0.3">
      <c r="A52" s="7"/>
      <c r="B52" s="8"/>
      <c r="C52" s="9"/>
      <c r="D52" s="9"/>
      <c r="E52" s="7"/>
      <c r="F52" s="7"/>
      <c r="G52" s="7"/>
      <c r="H52" s="7"/>
      <c r="I52" s="7"/>
      <c r="J52" s="7"/>
      <c r="K52" s="31"/>
    </row>
    <row r="53" spans="1:11" s="14" customFormat="1" ht="15" hidden="1" customHeight="1" x14ac:dyDescent="0.3">
      <c r="A53" s="15"/>
      <c r="B53" s="16"/>
      <c r="C53" s="17"/>
      <c r="D53" s="17"/>
      <c r="E53" s="15"/>
      <c r="F53" s="15"/>
      <c r="G53" s="15"/>
      <c r="H53" s="15"/>
      <c r="I53" s="15"/>
      <c r="J53" s="15"/>
      <c r="K53" s="31"/>
    </row>
    <row r="54" spans="1:11" s="18" customFormat="1" ht="15" hidden="1" customHeight="1" x14ac:dyDescent="0.3">
      <c r="A54" s="15"/>
      <c r="B54" s="16"/>
      <c r="C54" s="17"/>
      <c r="D54" s="17"/>
      <c r="E54" s="15"/>
      <c r="F54" s="15"/>
      <c r="G54" s="15"/>
      <c r="H54" s="15"/>
      <c r="I54" s="15"/>
      <c r="J54" s="15"/>
      <c r="K54" s="32"/>
    </row>
    <row r="55" spans="1:11" s="18" customFormat="1" ht="15" hidden="1" customHeight="1" x14ac:dyDescent="0.3">
      <c r="A55" s="19"/>
      <c r="B55" s="20"/>
      <c r="C55" s="21"/>
      <c r="D55" s="21"/>
      <c r="E55" s="19"/>
      <c r="F55" s="19"/>
      <c r="G55" s="19"/>
      <c r="H55" s="19"/>
      <c r="I55" s="19"/>
      <c r="J55" s="19"/>
      <c r="K55" s="32"/>
    </row>
    <row r="56" spans="1:11" s="18" customFormat="1" ht="15" hidden="1" customHeight="1" x14ac:dyDescent="0.3">
      <c r="A56" s="19"/>
      <c r="B56" s="20"/>
      <c r="C56" s="21"/>
      <c r="D56" s="21"/>
      <c r="E56" s="19"/>
      <c r="F56" s="19"/>
      <c r="G56" s="19"/>
      <c r="H56" s="19"/>
      <c r="I56" s="19"/>
      <c r="J56" s="19"/>
      <c r="K56" s="32"/>
    </row>
    <row r="57" spans="1:11" s="18" customFormat="1" ht="15" hidden="1" customHeight="1" x14ac:dyDescent="0.3">
      <c r="A57" s="19"/>
      <c r="B57" s="20"/>
      <c r="C57" s="21"/>
      <c r="D57" s="21"/>
      <c r="E57" s="19"/>
      <c r="F57" s="19"/>
      <c r="G57" s="19"/>
      <c r="H57" s="19"/>
      <c r="I57" s="19"/>
      <c r="J57" s="19"/>
      <c r="K57" s="32"/>
    </row>
    <row r="58" spans="1:11" s="18" customFormat="1" ht="15" hidden="1" customHeight="1" x14ac:dyDescent="0.3">
      <c r="A58" s="47"/>
      <c r="B58" s="48"/>
      <c r="C58" s="49"/>
      <c r="D58" s="49"/>
      <c r="E58" s="47"/>
      <c r="F58" s="47"/>
      <c r="G58" s="47"/>
      <c r="H58" s="47"/>
      <c r="I58" s="47"/>
      <c r="J58" s="47"/>
      <c r="K58" s="50"/>
    </row>
    <row r="59" spans="1:11" ht="15" thickBot="1" x14ac:dyDescent="0.35">
      <c r="A59" s="51"/>
      <c r="B59" s="52"/>
      <c r="C59" s="53"/>
      <c r="D59" s="53"/>
      <c r="E59" s="51"/>
      <c r="F59" s="51"/>
      <c r="G59" s="51"/>
      <c r="H59" s="51"/>
      <c r="I59" s="51"/>
      <c r="J59" s="51"/>
      <c r="K59" s="2"/>
    </row>
    <row r="60" spans="1:11" ht="15" thickBot="1" x14ac:dyDescent="0.35">
      <c r="B60" s="60" t="s">
        <v>34</v>
      </c>
      <c r="C60" s="61">
        <f>SUM(C50:C51)-SUM(D50:D51)</f>
        <v>1</v>
      </c>
      <c r="E60" s="2"/>
      <c r="F60" s="2"/>
      <c r="H60" s="2"/>
      <c r="J60" s="2"/>
      <c r="K60" s="2"/>
    </row>
    <row r="61" spans="1:11" x14ac:dyDescent="0.3">
      <c r="E61" s="2"/>
      <c r="F61" s="2"/>
      <c r="H61" s="2"/>
      <c r="J61" s="2"/>
      <c r="K61" s="2"/>
    </row>
    <row r="62" spans="1:11" hidden="1" x14ac:dyDescent="0.3">
      <c r="E62" s="2"/>
      <c r="F62" s="2"/>
      <c r="H62" s="2"/>
      <c r="J62" s="2"/>
      <c r="K62" s="2"/>
    </row>
    <row r="63" spans="1:11" s="2" customFormat="1" ht="34.35" customHeight="1" x14ac:dyDescent="0.3">
      <c r="A63" s="28" t="s">
        <v>0</v>
      </c>
      <c r="B63" s="28" t="s">
        <v>1</v>
      </c>
      <c r="C63" s="28" t="s">
        <v>2</v>
      </c>
      <c r="D63" s="28" t="s">
        <v>3</v>
      </c>
      <c r="E63" s="28" t="s">
        <v>4</v>
      </c>
      <c r="F63" s="28" t="s">
        <v>51</v>
      </c>
      <c r="G63" s="28" t="s">
        <v>52</v>
      </c>
      <c r="H63" s="28" t="s">
        <v>5</v>
      </c>
      <c r="I63" s="28" t="s">
        <v>53</v>
      </c>
      <c r="J63" s="28" t="s">
        <v>27</v>
      </c>
      <c r="K63" s="28" t="s">
        <v>6</v>
      </c>
    </row>
    <row r="64" spans="1:11" x14ac:dyDescent="0.3">
      <c r="A64" s="19" t="s">
        <v>112</v>
      </c>
      <c r="B64" s="20">
        <v>46044</v>
      </c>
      <c r="C64" s="21">
        <v>6</v>
      </c>
      <c r="D64" s="21">
        <v>5</v>
      </c>
      <c r="E64" s="19" t="s">
        <v>29</v>
      </c>
      <c r="F64" s="19" t="s">
        <v>200</v>
      </c>
      <c r="G64" s="19" t="s">
        <v>55</v>
      </c>
      <c r="H64" s="19" t="s">
        <v>113</v>
      </c>
      <c r="I64" s="19" t="s">
        <v>20</v>
      </c>
      <c r="J64" s="19" t="s">
        <v>65</v>
      </c>
      <c r="K64" s="19" t="s">
        <v>48</v>
      </c>
    </row>
    <row r="65" spans="1:29" x14ac:dyDescent="0.3">
      <c r="A65" s="19" t="s">
        <v>217</v>
      </c>
      <c r="B65" s="20">
        <v>46044</v>
      </c>
      <c r="C65" s="21">
        <v>1</v>
      </c>
      <c r="D65" s="21">
        <v>0</v>
      </c>
      <c r="E65" s="19" t="s">
        <v>218</v>
      </c>
      <c r="F65" s="19" t="s">
        <v>200</v>
      </c>
      <c r="G65" s="19" t="s">
        <v>55</v>
      </c>
      <c r="H65" s="19" t="s">
        <v>148</v>
      </c>
      <c r="I65" s="19" t="s">
        <v>20</v>
      </c>
      <c r="J65" s="19" t="s">
        <v>121</v>
      </c>
      <c r="K65" s="19" t="s">
        <v>13</v>
      </c>
    </row>
    <row r="66" spans="1:29" x14ac:dyDescent="0.3">
      <c r="A66" s="19" t="s">
        <v>221</v>
      </c>
      <c r="B66" s="20">
        <v>46042</v>
      </c>
      <c r="C66" s="21">
        <v>2</v>
      </c>
      <c r="D66" s="21">
        <v>0</v>
      </c>
      <c r="E66" s="19" t="s">
        <v>201</v>
      </c>
      <c r="F66" s="19" t="s">
        <v>200</v>
      </c>
      <c r="G66" s="19" t="s">
        <v>55</v>
      </c>
      <c r="H66" s="19" t="s">
        <v>33</v>
      </c>
      <c r="I66" s="19" t="s">
        <v>20</v>
      </c>
      <c r="J66" s="19" t="s">
        <v>105</v>
      </c>
      <c r="K66" s="19" t="s">
        <v>43</v>
      </c>
    </row>
    <row r="67" spans="1:29" x14ac:dyDescent="0.3">
      <c r="A67" s="19" t="s">
        <v>222</v>
      </c>
      <c r="B67" s="20">
        <v>46042</v>
      </c>
      <c r="C67" s="21">
        <v>1</v>
      </c>
      <c r="D67" s="21">
        <v>0</v>
      </c>
      <c r="E67" s="19" t="s">
        <v>223</v>
      </c>
      <c r="F67" s="19" t="s">
        <v>200</v>
      </c>
      <c r="G67" s="19" t="s">
        <v>55</v>
      </c>
      <c r="H67" s="19" t="s">
        <v>33</v>
      </c>
      <c r="I67" s="19" t="s">
        <v>20</v>
      </c>
      <c r="J67" s="19" t="s">
        <v>180</v>
      </c>
      <c r="K67" s="19" t="s">
        <v>13</v>
      </c>
    </row>
    <row r="68" spans="1:29" x14ac:dyDescent="0.3">
      <c r="A68" s="19" t="s">
        <v>224</v>
      </c>
      <c r="B68" s="20">
        <v>46043</v>
      </c>
      <c r="C68" s="21">
        <v>1</v>
      </c>
      <c r="D68" s="21">
        <v>0</v>
      </c>
      <c r="E68" s="19" t="s">
        <v>225</v>
      </c>
      <c r="F68" s="19" t="s">
        <v>200</v>
      </c>
      <c r="G68" s="19" t="s">
        <v>55</v>
      </c>
      <c r="H68" s="19" t="s">
        <v>33</v>
      </c>
      <c r="I68" s="19" t="s">
        <v>20</v>
      </c>
      <c r="J68" s="19" t="s">
        <v>180</v>
      </c>
      <c r="K68" s="19" t="s">
        <v>13</v>
      </c>
    </row>
    <row r="69" spans="1:29" x14ac:dyDescent="0.3">
      <c r="A69" s="19" t="s">
        <v>226</v>
      </c>
      <c r="B69" s="20">
        <v>46043</v>
      </c>
      <c r="C69" s="21">
        <v>2</v>
      </c>
      <c r="D69" s="21">
        <v>0</v>
      </c>
      <c r="E69" s="19" t="s">
        <v>227</v>
      </c>
      <c r="F69" s="19" t="s">
        <v>200</v>
      </c>
      <c r="G69" s="19" t="s">
        <v>55</v>
      </c>
      <c r="H69" s="19" t="s">
        <v>33</v>
      </c>
      <c r="I69" s="19" t="s">
        <v>20</v>
      </c>
      <c r="J69" s="19" t="s">
        <v>180</v>
      </c>
      <c r="K69" s="19" t="s">
        <v>13</v>
      </c>
    </row>
    <row r="70" spans="1:29" s="2" customFormat="1" x14ac:dyDescent="0.3">
      <c r="A70" s="19" t="s">
        <v>229</v>
      </c>
      <c r="B70" s="20">
        <v>46043</v>
      </c>
      <c r="C70" s="21">
        <v>3</v>
      </c>
      <c r="D70" s="21">
        <v>0</v>
      </c>
      <c r="E70" s="19" t="s">
        <v>45</v>
      </c>
      <c r="F70" s="19" t="s">
        <v>98</v>
      </c>
      <c r="G70" s="19" t="s">
        <v>55</v>
      </c>
      <c r="H70" s="19" t="s">
        <v>33</v>
      </c>
      <c r="I70" s="19" t="s">
        <v>20</v>
      </c>
      <c r="J70" s="19" t="s">
        <v>121</v>
      </c>
      <c r="K70" s="19" t="s">
        <v>13</v>
      </c>
      <c r="L70" s="4"/>
      <c r="M70" s="4"/>
      <c r="N70" s="4"/>
      <c r="O70" s="4"/>
      <c r="P70" s="4"/>
      <c r="Q70" s="4"/>
      <c r="R70" s="3"/>
      <c r="S70" s="3"/>
      <c r="T70" s="4"/>
      <c r="U70" s="4"/>
      <c r="V70" s="4"/>
      <c r="W70" s="4"/>
      <c r="X70" s="4"/>
      <c r="Y70" s="4"/>
      <c r="Z70" s="4"/>
      <c r="AA70" s="4"/>
      <c r="AB70" s="4"/>
      <c r="AC70" s="4"/>
    </row>
    <row r="71" spans="1:29" s="2" customFormat="1" x14ac:dyDescent="0.3">
      <c r="A71" s="19" t="s">
        <v>230</v>
      </c>
      <c r="B71" s="20">
        <v>46044</v>
      </c>
      <c r="C71" s="21">
        <v>1</v>
      </c>
      <c r="D71" s="21">
        <v>0</v>
      </c>
      <c r="E71" s="19" t="s">
        <v>166</v>
      </c>
      <c r="F71" s="19" t="s">
        <v>200</v>
      </c>
      <c r="G71" s="19" t="s">
        <v>55</v>
      </c>
      <c r="H71" s="19" t="s">
        <v>33</v>
      </c>
      <c r="I71" s="19" t="s">
        <v>20</v>
      </c>
      <c r="J71" s="19" t="s">
        <v>166</v>
      </c>
      <c r="K71" s="19" t="s">
        <v>24</v>
      </c>
      <c r="L71" s="4"/>
      <c r="M71" s="4"/>
      <c r="N71" s="4"/>
      <c r="O71" s="4"/>
      <c r="P71" s="4"/>
      <c r="Q71" s="4"/>
      <c r="R71" s="3"/>
      <c r="S71" s="3"/>
      <c r="T71" s="4"/>
      <c r="U71" s="4"/>
      <c r="V71" s="4"/>
      <c r="W71" s="4"/>
      <c r="X71" s="4"/>
      <c r="Y71" s="4"/>
      <c r="Z71" s="4"/>
      <c r="AA71" s="4"/>
      <c r="AB71" s="4"/>
      <c r="AC71" s="4"/>
    </row>
    <row r="72" spans="1:29" s="2" customFormat="1" x14ac:dyDescent="0.3">
      <c r="A72" s="19" t="s">
        <v>231</v>
      </c>
      <c r="B72" s="20">
        <v>46044</v>
      </c>
      <c r="C72" s="21">
        <v>1</v>
      </c>
      <c r="D72" s="21">
        <v>0</v>
      </c>
      <c r="E72" s="19" t="s">
        <v>232</v>
      </c>
      <c r="F72" s="19" t="s">
        <v>200</v>
      </c>
      <c r="G72" s="19" t="s">
        <v>55</v>
      </c>
      <c r="H72" s="19" t="s">
        <v>33</v>
      </c>
      <c r="I72" s="19" t="s">
        <v>20</v>
      </c>
      <c r="J72" s="19" t="s">
        <v>65</v>
      </c>
      <c r="K72" s="19" t="s">
        <v>48</v>
      </c>
      <c r="L72" s="4"/>
      <c r="M72" s="4"/>
      <c r="N72" s="4"/>
      <c r="O72" s="4"/>
      <c r="P72" s="4"/>
      <c r="Q72" s="4"/>
      <c r="R72" s="3"/>
      <c r="S72" s="3"/>
      <c r="T72" s="4"/>
      <c r="U72" s="4"/>
      <c r="V72" s="4"/>
      <c r="W72" s="4"/>
      <c r="X72" s="4"/>
      <c r="Y72" s="4"/>
      <c r="Z72" s="4"/>
      <c r="AA72" s="4"/>
      <c r="AB72" s="4"/>
      <c r="AC72" s="4"/>
    </row>
    <row r="73" spans="1:29" s="2" customFormat="1" x14ac:dyDescent="0.3">
      <c r="A73" s="19" t="s">
        <v>233</v>
      </c>
      <c r="B73" s="20">
        <v>46044</v>
      </c>
      <c r="C73" s="21">
        <v>3</v>
      </c>
      <c r="D73" s="21">
        <v>0</v>
      </c>
      <c r="E73" s="19" t="s">
        <v>63</v>
      </c>
      <c r="F73" s="19" t="s">
        <v>200</v>
      </c>
      <c r="G73" s="19" t="s">
        <v>55</v>
      </c>
      <c r="H73" s="19" t="s">
        <v>33</v>
      </c>
      <c r="I73" s="19" t="s">
        <v>20</v>
      </c>
      <c r="J73" s="19" t="s">
        <v>65</v>
      </c>
      <c r="K73" s="19" t="s">
        <v>48</v>
      </c>
      <c r="L73" s="4"/>
      <c r="M73" s="4"/>
      <c r="N73" s="4"/>
      <c r="O73" s="4"/>
      <c r="P73" s="4"/>
      <c r="Q73" s="4"/>
      <c r="R73" s="3"/>
      <c r="S73" s="3"/>
      <c r="T73" s="4"/>
      <c r="U73" s="4"/>
      <c r="V73" s="4"/>
      <c r="W73" s="4"/>
      <c r="X73" s="4"/>
      <c r="Y73" s="4"/>
      <c r="Z73" s="4"/>
      <c r="AA73" s="4"/>
      <c r="AB73" s="4"/>
      <c r="AC73" s="4"/>
    </row>
    <row r="74" spans="1:29" s="2" customFormat="1" x14ac:dyDescent="0.3">
      <c r="A74" s="19" t="s">
        <v>234</v>
      </c>
      <c r="B74" s="20">
        <v>46045</v>
      </c>
      <c r="C74" s="21">
        <v>30</v>
      </c>
      <c r="D74" s="21">
        <v>0</v>
      </c>
      <c r="E74" s="19" t="s">
        <v>45</v>
      </c>
      <c r="F74" s="19" t="s">
        <v>200</v>
      </c>
      <c r="G74" s="19" t="s">
        <v>55</v>
      </c>
      <c r="H74" s="19" t="s">
        <v>33</v>
      </c>
      <c r="I74" s="19" t="s">
        <v>20</v>
      </c>
      <c r="J74" s="19" t="s">
        <v>49</v>
      </c>
      <c r="K74" s="19" t="s">
        <v>91</v>
      </c>
      <c r="L74" s="4"/>
      <c r="M74" s="4"/>
      <c r="N74" s="4"/>
      <c r="O74" s="4"/>
      <c r="P74" s="4"/>
      <c r="Q74" s="4"/>
      <c r="R74" s="3"/>
      <c r="S74" s="3"/>
      <c r="T74" s="4"/>
      <c r="U74" s="4"/>
      <c r="V74" s="4"/>
      <c r="W74" s="4"/>
      <c r="X74" s="4"/>
      <c r="Y74" s="4"/>
      <c r="Z74" s="4"/>
      <c r="AA74" s="4"/>
      <c r="AB74" s="4"/>
      <c r="AC74" s="4"/>
    </row>
    <row r="75" spans="1:29" s="2" customFormat="1" ht="15" thickBot="1" x14ac:dyDescent="0.35">
      <c r="A75" s="51"/>
      <c r="B75" s="52"/>
      <c r="C75" s="53"/>
      <c r="D75" s="53"/>
      <c r="E75" s="51"/>
      <c r="F75" s="51"/>
      <c r="G75" s="51"/>
      <c r="H75" s="51"/>
      <c r="I75" s="51"/>
      <c r="J75" s="51"/>
      <c r="K75" s="51"/>
      <c r="L75" s="4"/>
      <c r="M75" s="4"/>
      <c r="N75" s="4"/>
      <c r="O75" s="4"/>
      <c r="P75" s="4"/>
      <c r="Q75" s="4"/>
      <c r="R75" s="3"/>
      <c r="S75" s="3"/>
      <c r="T75" s="4"/>
      <c r="U75" s="4"/>
      <c r="V75" s="4"/>
      <c r="W75" s="4"/>
      <c r="X75" s="4"/>
      <c r="Y75" s="4"/>
      <c r="Z75" s="4"/>
      <c r="AA75" s="4"/>
      <c r="AB75" s="4"/>
      <c r="AC75" s="4"/>
    </row>
    <row r="76" spans="1:29" ht="15" thickBot="1" x14ac:dyDescent="0.35">
      <c r="B76" s="38" t="s">
        <v>35</v>
      </c>
      <c r="C76" s="22">
        <f>SUM(C64:C74)-SUM(D64:D74)</f>
        <v>46</v>
      </c>
    </row>
  </sheetData>
  <autoFilter ref="A3:J38" xr:uid="{6E392464-0CD5-4B6C-9B5A-A4EF4B03C567}"/>
  <conditionalFormatting sqref="F1:F44 F47:F1048576">
    <cfRule type="cellIs" dxfId="305" priority="1" operator="equal">
      <formula>"Non-Billable"</formula>
    </cfRule>
    <cfRule type="cellIs" dxfId="304" priority="2" operator="equal">
      <formula>"Billable"</formula>
    </cfRule>
  </conditionalFormatting>
  <conditionalFormatting sqref="F45">
    <cfRule type="cellIs" dxfId="303" priority="10" operator="equal">
      <formula>"Not Accepting Application"</formula>
    </cfRule>
    <cfRule type="cellIs" dxfId="302" priority="11" operator="equal">
      <formula>"Y"</formula>
    </cfRule>
  </conditionalFormatting>
  <conditionalFormatting sqref="H1:H2 H4:H44 F45 H46:H48 H50:H62 H64:H1048576">
    <cfRule type="cellIs" dxfId="301" priority="8" operator="equal">
      <formula>"Not accpeting applications"</formula>
    </cfRule>
  </conditionalFormatting>
  <conditionalFormatting sqref="H1:H2 H4:H44 H46:H48 H50:H62 AG64:AG76 H64:H1048576">
    <cfRule type="cellIs" dxfId="300" priority="6" operator="equal">
      <formula>"Not Accepting Applications"</formula>
    </cfRule>
  </conditionalFormatting>
  <conditionalFormatting sqref="H4:H44">
    <cfRule type="cellIs" dxfId="299" priority="9" operator="equal">
      <formula>"Accepting Applications"</formula>
    </cfRule>
  </conditionalFormatting>
  <conditionalFormatting sqref="H50:H52">
    <cfRule type="cellIs" dxfId="298" priority="7" operator="equal">
      <formula>"Not accepting applications"</formula>
    </cfRule>
  </conditionalFormatting>
  <conditionalFormatting sqref="H54:H58">
    <cfRule type="cellIs" dxfId="297" priority="12" operator="equal">
      <formula>"Not Accepting Application"</formula>
    </cfRule>
    <cfRule type="cellIs" dxfId="296" priority="13" operator="equal">
      <formula>"Accepting Applications"</formula>
    </cfRule>
    <cfRule type="cellIs" dxfId="295" priority="14" operator="equal">
      <formula>"Y"</formula>
    </cfRule>
  </conditionalFormatting>
  <conditionalFormatting sqref="I1:I44 F45:G45 I47:I1048576">
    <cfRule type="cellIs" dxfId="294" priority="4" operator="equal">
      <formula>"Accepting Applications"</formula>
    </cfRule>
    <cfRule type="cellIs" dxfId="293" priority="5" operator="equal">
      <formula>"Not Accepting Applications"</formula>
    </cfRule>
  </conditionalFormatting>
  <conditionalFormatting sqref="I1:I44 G45 I47:I1048576">
    <cfRule type="cellIs" dxfId="292" priority="3" operator="equal">
      <formula>"Pending"</formula>
    </cfRule>
  </conditionalFormatting>
  <pageMargins left="0.7" right="0.7" top="0.75" bottom="0.75" header="0.3" footer="0.3"/>
  <pageSetup orientation="landscape" horizontalDpi="4294967295" verticalDpi="4294967295"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2E254-8D74-4BAA-B683-54133D1DED6B}">
  <sheetPr>
    <tabColor theme="2" tint="-9.9978637043366805E-2"/>
  </sheetPr>
  <dimension ref="A1:AC76"/>
  <sheetViews>
    <sheetView showGridLines="0" topLeftCell="A39" zoomScale="90" zoomScaleNormal="90" workbookViewId="0">
      <selection activeCell="F79" sqref="F79"/>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0.35416666666666669</v>
      </c>
      <c r="B1" s="37">
        <v>46044</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19" t="s">
        <v>59</v>
      </c>
      <c r="B4" s="20">
        <v>46043</v>
      </c>
      <c r="C4" s="21">
        <v>5</v>
      </c>
      <c r="D4" s="21">
        <v>1</v>
      </c>
      <c r="E4" s="19" t="s">
        <v>46</v>
      </c>
      <c r="F4" s="58" t="s">
        <v>200</v>
      </c>
      <c r="G4" s="19" t="s">
        <v>7</v>
      </c>
      <c r="H4" s="19" t="s">
        <v>18</v>
      </c>
      <c r="I4" s="19" t="s">
        <v>56</v>
      </c>
      <c r="J4" s="19" t="s">
        <v>49</v>
      </c>
      <c r="K4" s="19" t="s">
        <v>48</v>
      </c>
      <c r="AB4" s="2" t="s">
        <v>10</v>
      </c>
      <c r="AC4" s="2" t="s">
        <v>11</v>
      </c>
    </row>
    <row r="5" spans="1:29" s="2" customFormat="1" x14ac:dyDescent="0.3">
      <c r="A5" s="19" t="s">
        <v>69</v>
      </c>
      <c r="B5" s="20">
        <v>46038</v>
      </c>
      <c r="C5" s="21">
        <v>2</v>
      </c>
      <c r="D5" s="21">
        <v>0</v>
      </c>
      <c r="E5" s="19" t="s">
        <v>40</v>
      </c>
      <c r="F5" s="19" t="s">
        <v>98</v>
      </c>
      <c r="G5" s="19" t="s">
        <v>7</v>
      </c>
      <c r="H5" s="19" t="s">
        <v>18</v>
      </c>
      <c r="I5" s="19" t="s">
        <v>56</v>
      </c>
      <c r="J5" s="19" t="s">
        <v>70</v>
      </c>
      <c r="K5" s="19" t="s">
        <v>48</v>
      </c>
      <c r="AB5" s="2" t="s">
        <v>14</v>
      </c>
      <c r="AC5" s="2">
        <v>17</v>
      </c>
    </row>
    <row r="6" spans="1:29" s="2" customFormat="1" x14ac:dyDescent="0.3">
      <c r="A6" s="19" t="s">
        <v>74</v>
      </c>
      <c r="B6" s="20">
        <v>46030</v>
      </c>
      <c r="C6" s="21">
        <v>1</v>
      </c>
      <c r="D6" s="21">
        <v>0</v>
      </c>
      <c r="E6" s="19" t="s">
        <v>75</v>
      </c>
      <c r="F6" s="19" t="s">
        <v>98</v>
      </c>
      <c r="G6" s="19" t="s">
        <v>7</v>
      </c>
      <c r="H6" s="19" t="s">
        <v>76</v>
      </c>
      <c r="I6" s="19" t="s">
        <v>20</v>
      </c>
      <c r="J6" s="19" t="s">
        <v>77</v>
      </c>
      <c r="K6" s="19" t="s">
        <v>13</v>
      </c>
      <c r="N6" s="10"/>
      <c r="AB6" s="2" t="s">
        <v>15</v>
      </c>
      <c r="AC6" s="2">
        <v>3</v>
      </c>
    </row>
    <row r="7" spans="1:29" s="2" customFormat="1" x14ac:dyDescent="0.3">
      <c r="A7" s="19" t="s">
        <v>81</v>
      </c>
      <c r="B7" s="20">
        <v>46034</v>
      </c>
      <c r="C7" s="21">
        <v>2</v>
      </c>
      <c r="D7" s="21">
        <v>0</v>
      </c>
      <c r="E7" s="19" t="s">
        <v>41</v>
      </c>
      <c r="F7" s="19" t="s">
        <v>98</v>
      </c>
      <c r="G7" s="19" t="s">
        <v>7</v>
      </c>
      <c r="H7" s="19" t="s">
        <v>18</v>
      </c>
      <c r="I7" s="19" t="s">
        <v>56</v>
      </c>
      <c r="J7" s="19" t="s">
        <v>82</v>
      </c>
      <c r="K7" s="19" t="s">
        <v>22</v>
      </c>
      <c r="N7" s="10"/>
      <c r="V7" s="11"/>
      <c r="AB7" s="2" t="s">
        <v>16</v>
      </c>
      <c r="AC7" s="2">
        <v>4</v>
      </c>
    </row>
    <row r="8" spans="1:29" s="2" customFormat="1" x14ac:dyDescent="0.3">
      <c r="A8" s="19" t="s">
        <v>85</v>
      </c>
      <c r="B8" s="20">
        <v>45971</v>
      </c>
      <c r="C8" s="21">
        <v>1</v>
      </c>
      <c r="D8" s="21">
        <v>0</v>
      </c>
      <c r="E8" s="19" t="s">
        <v>86</v>
      </c>
      <c r="F8" s="58" t="s">
        <v>98</v>
      </c>
      <c r="G8" s="19" t="s">
        <v>7</v>
      </c>
      <c r="H8" s="19" t="s">
        <v>23</v>
      </c>
      <c r="I8" s="19" t="s">
        <v>20</v>
      </c>
      <c r="J8" s="19" t="s">
        <v>42</v>
      </c>
      <c r="K8" s="19" t="s">
        <v>13</v>
      </c>
      <c r="N8" s="10"/>
    </row>
    <row r="9" spans="1:29" s="2" customFormat="1" x14ac:dyDescent="0.3">
      <c r="A9" s="19" t="s">
        <v>89</v>
      </c>
      <c r="B9" s="20">
        <v>45982</v>
      </c>
      <c r="C9" s="21">
        <v>1</v>
      </c>
      <c r="D9" s="21">
        <v>0</v>
      </c>
      <c r="E9" s="19" t="s">
        <v>90</v>
      </c>
      <c r="F9" s="19" t="s">
        <v>98</v>
      </c>
      <c r="G9" s="19" t="s">
        <v>7</v>
      </c>
      <c r="H9" s="19" t="s">
        <v>64</v>
      </c>
      <c r="I9" s="19" t="s">
        <v>9</v>
      </c>
      <c r="J9" s="19" t="s">
        <v>26</v>
      </c>
      <c r="K9" s="19" t="s">
        <v>91</v>
      </c>
      <c r="N9" s="10"/>
    </row>
    <row r="10" spans="1:29" s="2" customFormat="1" x14ac:dyDescent="0.3">
      <c r="A10" s="19" t="s">
        <v>92</v>
      </c>
      <c r="B10" s="20">
        <v>45971</v>
      </c>
      <c r="C10" s="21">
        <v>1</v>
      </c>
      <c r="D10" s="21">
        <v>0</v>
      </c>
      <c r="E10" s="19" t="s">
        <v>93</v>
      </c>
      <c r="F10" s="19" t="s">
        <v>98</v>
      </c>
      <c r="G10" s="19" t="s">
        <v>7</v>
      </c>
      <c r="H10" s="19" t="s">
        <v>94</v>
      </c>
      <c r="I10" s="19" t="s">
        <v>9</v>
      </c>
      <c r="J10" s="19" t="s">
        <v>95</v>
      </c>
      <c r="K10" s="19" t="s">
        <v>91</v>
      </c>
      <c r="N10" s="10"/>
    </row>
    <row r="11" spans="1:29" s="2" customFormat="1" x14ac:dyDescent="0.3">
      <c r="A11" s="19" t="s">
        <v>96</v>
      </c>
      <c r="B11" s="20">
        <v>45974</v>
      </c>
      <c r="C11" s="21">
        <v>1</v>
      </c>
      <c r="D11" s="21">
        <v>0</v>
      </c>
      <c r="E11" s="19" t="s">
        <v>97</v>
      </c>
      <c r="F11" s="19" t="s">
        <v>98</v>
      </c>
      <c r="G11" s="19" t="s">
        <v>7</v>
      </c>
      <c r="H11" s="19" t="s">
        <v>23</v>
      </c>
      <c r="I11" s="19" t="s">
        <v>9</v>
      </c>
      <c r="J11" s="19" t="s">
        <v>95</v>
      </c>
      <c r="K11" s="19" t="s">
        <v>13</v>
      </c>
    </row>
    <row r="12" spans="1:29" s="2" customFormat="1" x14ac:dyDescent="0.3">
      <c r="A12" s="19" t="s">
        <v>99</v>
      </c>
      <c r="B12" s="20">
        <v>45972</v>
      </c>
      <c r="C12" s="21">
        <v>1</v>
      </c>
      <c r="D12" s="21">
        <v>0</v>
      </c>
      <c r="E12" s="19" t="s">
        <v>166</v>
      </c>
      <c r="F12" s="19" t="s">
        <v>98</v>
      </c>
      <c r="G12" s="19" t="s">
        <v>7</v>
      </c>
      <c r="H12" s="19" t="s">
        <v>44</v>
      </c>
      <c r="I12" s="19" t="s">
        <v>20</v>
      </c>
      <c r="J12" s="19" t="s">
        <v>166</v>
      </c>
      <c r="K12" s="19" t="s">
        <v>13</v>
      </c>
    </row>
    <row r="13" spans="1:29" s="2" customFormat="1" x14ac:dyDescent="0.3">
      <c r="A13" s="19" t="s">
        <v>100</v>
      </c>
      <c r="B13" s="20">
        <v>46038</v>
      </c>
      <c r="C13" s="21">
        <v>2</v>
      </c>
      <c r="D13" s="21">
        <v>1</v>
      </c>
      <c r="E13" s="19" t="s">
        <v>101</v>
      </c>
      <c r="F13" s="19" t="s">
        <v>98</v>
      </c>
      <c r="G13" s="19" t="s">
        <v>7</v>
      </c>
      <c r="H13" s="19" t="s">
        <v>18</v>
      </c>
      <c r="I13" s="19" t="s">
        <v>56</v>
      </c>
      <c r="J13" s="19" t="s">
        <v>103</v>
      </c>
      <c r="K13" s="19" t="s">
        <v>21</v>
      </c>
    </row>
    <row r="14" spans="1:29" s="2" customFormat="1" x14ac:dyDescent="0.3">
      <c r="A14" s="19" t="s">
        <v>106</v>
      </c>
      <c r="B14" s="20">
        <v>46030</v>
      </c>
      <c r="C14" s="21">
        <v>1</v>
      </c>
      <c r="D14" s="21">
        <v>0</v>
      </c>
      <c r="E14" s="19" t="s">
        <v>107</v>
      </c>
      <c r="F14" s="58" t="s">
        <v>200</v>
      </c>
      <c r="G14" s="19" t="s">
        <v>7</v>
      </c>
      <c r="H14" s="19" t="s">
        <v>18</v>
      </c>
      <c r="I14" s="19" t="s">
        <v>56</v>
      </c>
      <c r="J14" s="19" t="s">
        <v>50</v>
      </c>
      <c r="K14" s="19" t="s">
        <v>43</v>
      </c>
    </row>
    <row r="15" spans="1:29" s="2" customFormat="1" x14ac:dyDescent="0.3">
      <c r="A15" s="19" t="s">
        <v>112</v>
      </c>
      <c r="B15" s="20">
        <v>45982</v>
      </c>
      <c r="C15" s="21">
        <v>9</v>
      </c>
      <c r="D15" s="21">
        <v>4</v>
      </c>
      <c r="E15" s="19" t="s">
        <v>29</v>
      </c>
      <c r="F15" s="58" t="s">
        <v>200</v>
      </c>
      <c r="G15" s="19" t="s">
        <v>7</v>
      </c>
      <c r="H15" s="19" t="s">
        <v>113</v>
      </c>
      <c r="I15" s="19" t="s">
        <v>9</v>
      </c>
      <c r="J15" s="19" t="s">
        <v>65</v>
      </c>
      <c r="K15" s="19" t="s">
        <v>48</v>
      </c>
    </row>
    <row r="16" spans="1:29" s="2" customFormat="1" x14ac:dyDescent="0.3">
      <c r="A16" s="19" t="s">
        <v>116</v>
      </c>
      <c r="B16" s="20">
        <v>46037</v>
      </c>
      <c r="C16" s="21">
        <v>1</v>
      </c>
      <c r="D16" s="21">
        <v>0</v>
      </c>
      <c r="E16" s="19" t="s">
        <v>54</v>
      </c>
      <c r="F16" s="19" t="s">
        <v>98</v>
      </c>
      <c r="G16" s="19" t="s">
        <v>7</v>
      </c>
      <c r="H16" s="19" t="s">
        <v>47</v>
      </c>
      <c r="I16" s="19" t="s">
        <v>9</v>
      </c>
      <c r="J16" s="19" t="s">
        <v>117</v>
      </c>
      <c r="K16" s="19" t="s">
        <v>118</v>
      </c>
    </row>
    <row r="17" spans="1:11" s="2" customFormat="1" x14ac:dyDescent="0.3">
      <c r="A17" s="19" t="s">
        <v>122</v>
      </c>
      <c r="B17" s="20">
        <v>46031</v>
      </c>
      <c r="C17" s="21">
        <v>2</v>
      </c>
      <c r="D17" s="21">
        <v>0</v>
      </c>
      <c r="E17" s="19" t="s">
        <v>123</v>
      </c>
      <c r="F17" s="19" t="s">
        <v>98</v>
      </c>
      <c r="G17" s="19" t="s">
        <v>7</v>
      </c>
      <c r="H17" s="19" t="s">
        <v>23</v>
      </c>
      <c r="I17" s="19" t="s">
        <v>9</v>
      </c>
      <c r="J17" s="19" t="s">
        <v>121</v>
      </c>
      <c r="K17" s="19" t="s">
        <v>13</v>
      </c>
    </row>
    <row r="18" spans="1:11" s="2" customFormat="1" x14ac:dyDescent="0.3">
      <c r="A18" s="19" t="s">
        <v>125</v>
      </c>
      <c r="B18" s="20">
        <v>46006</v>
      </c>
      <c r="C18" s="21">
        <v>1</v>
      </c>
      <c r="D18" s="21">
        <v>0</v>
      </c>
      <c r="E18" s="19" t="s">
        <v>126</v>
      </c>
      <c r="F18" s="19" t="s">
        <v>98</v>
      </c>
      <c r="G18" s="19" t="s">
        <v>7</v>
      </c>
      <c r="H18" s="19" t="s">
        <v>18</v>
      </c>
      <c r="I18" s="19" t="s">
        <v>56</v>
      </c>
      <c r="J18" s="19" t="s">
        <v>127</v>
      </c>
      <c r="K18" s="19" t="s">
        <v>22</v>
      </c>
    </row>
    <row r="19" spans="1:11" s="2" customFormat="1" x14ac:dyDescent="0.3">
      <c r="A19" s="19" t="s">
        <v>128</v>
      </c>
      <c r="B19" s="20">
        <v>46035</v>
      </c>
      <c r="C19" s="21">
        <v>1</v>
      </c>
      <c r="D19" s="21">
        <v>0</v>
      </c>
      <c r="E19" s="19" t="s">
        <v>129</v>
      </c>
      <c r="F19" s="58" t="s">
        <v>200</v>
      </c>
      <c r="G19" s="19" t="s">
        <v>7</v>
      </c>
      <c r="H19" s="19" t="s">
        <v>64</v>
      </c>
      <c r="I19" s="19" t="s">
        <v>9</v>
      </c>
      <c r="J19" s="19" t="s">
        <v>65</v>
      </c>
      <c r="K19" s="19" t="s">
        <v>48</v>
      </c>
    </row>
    <row r="20" spans="1:11" s="2" customFormat="1" x14ac:dyDescent="0.3">
      <c r="A20" s="19" t="s">
        <v>130</v>
      </c>
      <c r="B20" s="20">
        <v>45995</v>
      </c>
      <c r="C20" s="21">
        <v>1</v>
      </c>
      <c r="D20" s="21">
        <v>0</v>
      </c>
      <c r="E20" s="19" t="s">
        <v>30</v>
      </c>
      <c r="F20" s="58" t="s">
        <v>200</v>
      </c>
      <c r="G20" s="19" t="s">
        <v>7</v>
      </c>
      <c r="H20" s="19" t="s">
        <v>64</v>
      </c>
      <c r="I20" s="19" t="s">
        <v>9</v>
      </c>
      <c r="J20" s="19" t="s">
        <v>12</v>
      </c>
      <c r="K20" s="19" t="s">
        <v>24</v>
      </c>
    </row>
    <row r="21" spans="1:11" s="2" customFormat="1" ht="15" customHeight="1" x14ac:dyDescent="0.3">
      <c r="A21" s="19" t="s">
        <v>135</v>
      </c>
      <c r="B21" s="20">
        <v>46020</v>
      </c>
      <c r="C21" s="21">
        <v>1</v>
      </c>
      <c r="D21" s="21">
        <v>0</v>
      </c>
      <c r="E21" s="19" t="s">
        <v>136</v>
      </c>
      <c r="F21" s="58" t="s">
        <v>200</v>
      </c>
      <c r="G21" s="19" t="s">
        <v>7</v>
      </c>
      <c r="H21" s="19" t="s">
        <v>23</v>
      </c>
      <c r="I21" s="19" t="s">
        <v>9</v>
      </c>
      <c r="J21" s="19" t="s">
        <v>137</v>
      </c>
      <c r="K21" s="19" t="s">
        <v>13</v>
      </c>
    </row>
    <row r="22" spans="1:11" s="2" customFormat="1" ht="13.95" customHeight="1" x14ac:dyDescent="0.3">
      <c r="A22" s="19" t="s">
        <v>138</v>
      </c>
      <c r="B22" s="20">
        <v>46006</v>
      </c>
      <c r="C22" s="21">
        <v>5</v>
      </c>
      <c r="D22" s="21">
        <v>0</v>
      </c>
      <c r="E22" s="19" t="s">
        <v>45</v>
      </c>
      <c r="F22" s="58" t="s">
        <v>200</v>
      </c>
      <c r="G22" s="19" t="s">
        <v>7</v>
      </c>
      <c r="H22" s="19" t="s">
        <v>139</v>
      </c>
      <c r="I22" s="19" t="s">
        <v>20</v>
      </c>
      <c r="J22" s="19" t="s">
        <v>140</v>
      </c>
      <c r="K22" s="19" t="s">
        <v>22</v>
      </c>
    </row>
    <row r="23" spans="1:11" s="2" customFormat="1" x14ac:dyDescent="0.3">
      <c r="A23" s="19" t="s">
        <v>141</v>
      </c>
      <c r="B23" s="20">
        <v>46006</v>
      </c>
      <c r="C23" s="21">
        <v>4</v>
      </c>
      <c r="D23" s="21">
        <v>0</v>
      </c>
      <c r="E23" s="19" t="s">
        <v>142</v>
      </c>
      <c r="F23" s="58" t="s">
        <v>200</v>
      </c>
      <c r="G23" s="19" t="s">
        <v>7</v>
      </c>
      <c r="H23" s="19" t="s">
        <v>139</v>
      </c>
      <c r="I23" s="19" t="s">
        <v>20</v>
      </c>
      <c r="J23" s="19" t="s">
        <v>140</v>
      </c>
      <c r="K23" s="19" t="s">
        <v>33</v>
      </c>
    </row>
    <row r="24" spans="1:11" s="2" customFormat="1" x14ac:dyDescent="0.3">
      <c r="A24" s="19" t="s">
        <v>143</v>
      </c>
      <c r="B24" s="20">
        <v>46014</v>
      </c>
      <c r="C24" s="21">
        <v>2</v>
      </c>
      <c r="D24" s="21">
        <v>1</v>
      </c>
      <c r="E24" s="19" t="s">
        <v>29</v>
      </c>
      <c r="F24" s="58" t="s">
        <v>200</v>
      </c>
      <c r="G24" s="19" t="s">
        <v>7</v>
      </c>
      <c r="H24" s="19" t="s">
        <v>18</v>
      </c>
      <c r="I24" s="19" t="s">
        <v>56</v>
      </c>
      <c r="J24" s="19" t="s">
        <v>140</v>
      </c>
      <c r="K24" s="19" t="s">
        <v>22</v>
      </c>
    </row>
    <row r="25" spans="1:11" s="2" customFormat="1" x14ac:dyDescent="0.3">
      <c r="A25" s="19" t="s">
        <v>146</v>
      </c>
      <c r="B25" s="20">
        <v>46013</v>
      </c>
      <c r="C25" s="21">
        <v>1</v>
      </c>
      <c r="D25" s="21">
        <v>0</v>
      </c>
      <c r="E25" s="19" t="s">
        <v>147</v>
      </c>
      <c r="F25" s="19" t="s">
        <v>98</v>
      </c>
      <c r="G25" s="19" t="s">
        <v>7</v>
      </c>
      <c r="H25" s="19" t="s">
        <v>148</v>
      </c>
      <c r="I25" s="19" t="s">
        <v>9</v>
      </c>
      <c r="J25" s="19" t="s">
        <v>149</v>
      </c>
      <c r="K25" s="19" t="s">
        <v>13</v>
      </c>
    </row>
    <row r="26" spans="1:11" s="2" customFormat="1" ht="15" customHeight="1" x14ac:dyDescent="0.3">
      <c r="A26" s="19" t="s">
        <v>150</v>
      </c>
      <c r="B26" s="20">
        <v>46013</v>
      </c>
      <c r="C26" s="21">
        <v>1</v>
      </c>
      <c r="D26" s="21">
        <v>0</v>
      </c>
      <c r="E26" s="19" t="s">
        <v>151</v>
      </c>
      <c r="F26" s="19" t="s">
        <v>98</v>
      </c>
      <c r="G26" s="19" t="s">
        <v>7</v>
      </c>
      <c r="H26" s="19" t="s">
        <v>148</v>
      </c>
      <c r="I26" s="19" t="s">
        <v>9</v>
      </c>
      <c r="J26" s="19" t="s">
        <v>149</v>
      </c>
      <c r="K26" s="19" t="s">
        <v>13</v>
      </c>
    </row>
    <row r="27" spans="1:11" s="2" customFormat="1" x14ac:dyDescent="0.3">
      <c r="A27" s="19" t="s">
        <v>152</v>
      </c>
      <c r="B27" s="20">
        <v>46006</v>
      </c>
      <c r="C27" s="21">
        <v>1</v>
      </c>
      <c r="D27" s="21">
        <v>0</v>
      </c>
      <c r="E27" s="19" t="s">
        <v>153</v>
      </c>
      <c r="F27" s="58" t="s">
        <v>200</v>
      </c>
      <c r="G27" s="19" t="s">
        <v>7</v>
      </c>
      <c r="H27" s="19" t="s">
        <v>33</v>
      </c>
      <c r="I27" s="19" t="s">
        <v>20</v>
      </c>
      <c r="J27" s="19" t="s">
        <v>77</v>
      </c>
      <c r="K27" s="19" t="s">
        <v>13</v>
      </c>
    </row>
    <row r="28" spans="1:11" s="2" customFormat="1" x14ac:dyDescent="0.3">
      <c r="A28" s="19" t="s">
        <v>154</v>
      </c>
      <c r="B28" s="20">
        <v>46015</v>
      </c>
      <c r="C28" s="21">
        <v>1</v>
      </c>
      <c r="D28" s="21">
        <v>0</v>
      </c>
      <c r="E28" s="19" t="s">
        <v>155</v>
      </c>
      <c r="F28" s="19" t="s">
        <v>98</v>
      </c>
      <c r="G28" s="19" t="s">
        <v>7</v>
      </c>
      <c r="H28" s="19" t="s">
        <v>47</v>
      </c>
      <c r="I28" s="19" t="s">
        <v>9</v>
      </c>
      <c r="J28" s="19" t="s">
        <v>156</v>
      </c>
      <c r="K28" s="19" t="s">
        <v>13</v>
      </c>
    </row>
    <row r="29" spans="1:11" s="2" customFormat="1" x14ac:dyDescent="0.3">
      <c r="A29" s="19" t="s">
        <v>157</v>
      </c>
      <c r="B29" s="20">
        <v>46020</v>
      </c>
      <c r="C29" s="21">
        <v>1</v>
      </c>
      <c r="D29" s="21">
        <v>0</v>
      </c>
      <c r="E29" s="19" t="s">
        <v>158</v>
      </c>
      <c r="F29" s="19" t="s">
        <v>98</v>
      </c>
      <c r="G29" s="19" t="s">
        <v>7</v>
      </c>
      <c r="H29" s="19" t="s">
        <v>17</v>
      </c>
      <c r="I29" s="19" t="s">
        <v>9</v>
      </c>
      <c r="J29" s="19" t="s">
        <v>159</v>
      </c>
      <c r="K29" s="19" t="s">
        <v>28</v>
      </c>
    </row>
    <row r="30" spans="1:11" s="2" customFormat="1" x14ac:dyDescent="0.3">
      <c r="A30" s="19" t="s">
        <v>160</v>
      </c>
      <c r="B30" s="20">
        <v>46020</v>
      </c>
      <c r="C30" s="21">
        <v>1</v>
      </c>
      <c r="D30" s="21">
        <v>0</v>
      </c>
      <c r="E30" s="19" t="s">
        <v>161</v>
      </c>
      <c r="F30" s="58" t="s">
        <v>200</v>
      </c>
      <c r="G30" s="19" t="s">
        <v>7</v>
      </c>
      <c r="H30" s="19" t="s">
        <v>18</v>
      </c>
      <c r="I30" s="19" t="s">
        <v>56</v>
      </c>
      <c r="J30" s="19" t="s">
        <v>137</v>
      </c>
      <c r="K30" s="19" t="s">
        <v>13</v>
      </c>
    </row>
    <row r="31" spans="1:11" s="2" customFormat="1" x14ac:dyDescent="0.3">
      <c r="A31" s="19" t="s">
        <v>162</v>
      </c>
      <c r="B31" s="20">
        <v>46019</v>
      </c>
      <c r="C31" s="21">
        <v>1</v>
      </c>
      <c r="D31" s="21">
        <v>0</v>
      </c>
      <c r="E31" s="19" t="s">
        <v>166</v>
      </c>
      <c r="F31" s="58" t="s">
        <v>200</v>
      </c>
      <c r="G31" s="19" t="s">
        <v>7</v>
      </c>
      <c r="H31" s="19" t="s">
        <v>33</v>
      </c>
      <c r="I31" s="19" t="s">
        <v>20</v>
      </c>
      <c r="J31" s="19" t="s">
        <v>166</v>
      </c>
      <c r="K31" s="19" t="s">
        <v>13</v>
      </c>
    </row>
    <row r="32" spans="1:11" s="2" customFormat="1" x14ac:dyDescent="0.3">
      <c r="A32" s="19" t="s">
        <v>172</v>
      </c>
      <c r="B32" s="20">
        <v>46037</v>
      </c>
      <c r="C32" s="21">
        <v>1</v>
      </c>
      <c r="D32" s="21">
        <v>0</v>
      </c>
      <c r="E32" s="19" t="s">
        <v>173</v>
      </c>
      <c r="F32" s="19" t="s">
        <v>98</v>
      </c>
      <c r="G32" s="19" t="s">
        <v>7</v>
      </c>
      <c r="H32" s="19" t="s">
        <v>33</v>
      </c>
      <c r="I32" s="19" t="s">
        <v>20</v>
      </c>
      <c r="J32" s="19" t="s">
        <v>175</v>
      </c>
      <c r="K32" s="19" t="s">
        <v>176</v>
      </c>
    </row>
    <row r="33" spans="1:19" s="2" customFormat="1" x14ac:dyDescent="0.3">
      <c r="A33" s="19" t="s">
        <v>163</v>
      </c>
      <c r="B33" s="20">
        <v>46030</v>
      </c>
      <c r="C33" s="21">
        <v>1</v>
      </c>
      <c r="D33" s="21">
        <v>0</v>
      </c>
      <c r="E33" s="19" t="s">
        <v>164</v>
      </c>
      <c r="F33" s="19" t="s">
        <v>98</v>
      </c>
      <c r="G33" s="19" t="s">
        <v>7</v>
      </c>
      <c r="H33" s="19" t="s">
        <v>17</v>
      </c>
      <c r="I33" s="19" t="s">
        <v>9</v>
      </c>
      <c r="J33" s="19" t="s">
        <v>165</v>
      </c>
      <c r="K33" s="19" t="s">
        <v>13</v>
      </c>
    </row>
    <row r="34" spans="1:19" s="2" customFormat="1" x14ac:dyDescent="0.3">
      <c r="A34" s="19" t="s">
        <v>184</v>
      </c>
      <c r="B34" s="20">
        <v>46043</v>
      </c>
      <c r="C34" s="21">
        <v>1</v>
      </c>
      <c r="D34" s="21">
        <v>0</v>
      </c>
      <c r="E34" s="19" t="s">
        <v>164</v>
      </c>
      <c r="F34" s="19" t="s">
        <v>98</v>
      </c>
      <c r="G34" s="19" t="s">
        <v>7</v>
      </c>
      <c r="H34" s="19" t="s">
        <v>212</v>
      </c>
      <c r="I34" s="19" t="s">
        <v>9</v>
      </c>
      <c r="J34" s="19" t="s">
        <v>186</v>
      </c>
      <c r="K34" s="19" t="s">
        <v>22</v>
      </c>
    </row>
    <row r="35" spans="1:19" s="2" customFormat="1" x14ac:dyDescent="0.3">
      <c r="A35" s="19" t="s">
        <v>188</v>
      </c>
      <c r="B35" s="20">
        <v>46036</v>
      </c>
      <c r="C35" s="21">
        <v>1</v>
      </c>
      <c r="D35" s="21">
        <v>0</v>
      </c>
      <c r="E35" s="19" t="s">
        <v>41</v>
      </c>
      <c r="F35" s="19" t="s">
        <v>98</v>
      </c>
      <c r="G35" s="19" t="s">
        <v>7</v>
      </c>
      <c r="H35" s="19" t="s">
        <v>18</v>
      </c>
      <c r="I35" s="19" t="s">
        <v>20</v>
      </c>
      <c r="J35" s="19" t="s">
        <v>82</v>
      </c>
      <c r="K35" s="19" t="s">
        <v>22</v>
      </c>
    </row>
    <row r="36" spans="1:19" s="2" customFormat="1" x14ac:dyDescent="0.3">
      <c r="A36" s="19" t="s">
        <v>197</v>
      </c>
      <c r="B36" s="20">
        <v>46043</v>
      </c>
      <c r="C36" s="21">
        <v>1</v>
      </c>
      <c r="D36" s="21">
        <v>0</v>
      </c>
      <c r="E36" s="19" t="s">
        <v>93</v>
      </c>
      <c r="F36" s="19" t="s">
        <v>98</v>
      </c>
      <c r="G36" s="19" t="s">
        <v>7</v>
      </c>
      <c r="H36" s="19" t="s">
        <v>219</v>
      </c>
      <c r="I36" s="19" t="s">
        <v>20</v>
      </c>
      <c r="J36" s="19" t="s">
        <v>140</v>
      </c>
      <c r="K36" s="19" t="s">
        <v>22</v>
      </c>
    </row>
    <row r="37" spans="1:19" s="2" customFormat="1" ht="14.25" customHeight="1" x14ac:dyDescent="0.3">
      <c r="A37" s="19" t="s">
        <v>202</v>
      </c>
      <c r="B37" s="20">
        <v>46042</v>
      </c>
      <c r="C37" s="21">
        <v>1</v>
      </c>
      <c r="D37" s="21">
        <v>0</v>
      </c>
      <c r="E37" s="19" t="s">
        <v>54</v>
      </c>
      <c r="F37" s="19" t="s">
        <v>98</v>
      </c>
      <c r="G37" s="19" t="s">
        <v>7</v>
      </c>
      <c r="H37" s="19" t="s">
        <v>17</v>
      </c>
      <c r="I37" s="19" t="s">
        <v>9</v>
      </c>
      <c r="J37" s="19" t="s">
        <v>203</v>
      </c>
      <c r="K37" s="19" t="s">
        <v>19</v>
      </c>
    </row>
    <row r="38" spans="1:19" s="2" customFormat="1" ht="14.25" customHeight="1" x14ac:dyDescent="0.3">
      <c r="A38" s="19" t="s">
        <v>207</v>
      </c>
      <c r="B38" s="20">
        <v>46043</v>
      </c>
      <c r="C38" s="21">
        <v>1</v>
      </c>
      <c r="D38" s="21">
        <v>0</v>
      </c>
      <c r="E38" s="19" t="s">
        <v>208</v>
      </c>
      <c r="F38" s="19" t="s">
        <v>98</v>
      </c>
      <c r="G38" s="19" t="s">
        <v>7</v>
      </c>
      <c r="H38" s="19" t="s">
        <v>18</v>
      </c>
      <c r="I38" s="19" t="s">
        <v>56</v>
      </c>
      <c r="J38" s="19" t="s">
        <v>117</v>
      </c>
      <c r="K38" s="19" t="s">
        <v>13</v>
      </c>
    </row>
    <row r="39" spans="1:19" s="2" customFormat="1" ht="13.95" customHeight="1" x14ac:dyDescent="0.3">
      <c r="A39" s="19" t="s">
        <v>211</v>
      </c>
      <c r="B39" s="20">
        <v>46038</v>
      </c>
      <c r="C39" s="21">
        <v>1</v>
      </c>
      <c r="D39" s="21">
        <v>0</v>
      </c>
      <c r="E39" s="19" t="s">
        <v>25</v>
      </c>
      <c r="F39" s="58" t="s">
        <v>200</v>
      </c>
      <c r="G39" s="19" t="s">
        <v>7</v>
      </c>
      <c r="H39" s="19" t="s">
        <v>18</v>
      </c>
      <c r="I39" s="19" t="s">
        <v>56</v>
      </c>
      <c r="J39" s="19" t="s">
        <v>105</v>
      </c>
      <c r="K39" s="19" t="s">
        <v>43</v>
      </c>
    </row>
    <row r="40" spans="1:19" s="2" customFormat="1" ht="13.95" customHeight="1" x14ac:dyDescent="0.3">
      <c r="A40" s="19" t="s">
        <v>213</v>
      </c>
      <c r="B40" s="20">
        <v>46043</v>
      </c>
      <c r="C40" s="21">
        <v>2</v>
      </c>
      <c r="D40" s="21">
        <v>0</v>
      </c>
      <c r="E40" s="19" t="s">
        <v>214</v>
      </c>
      <c r="F40" s="58" t="s">
        <v>200</v>
      </c>
      <c r="G40" s="19" t="s">
        <v>7</v>
      </c>
      <c r="H40" s="19" t="s">
        <v>220</v>
      </c>
      <c r="I40" s="19" t="s">
        <v>20</v>
      </c>
      <c r="J40" s="19" t="s">
        <v>215</v>
      </c>
      <c r="K40" s="19" t="s">
        <v>216</v>
      </c>
    </row>
    <row r="41" spans="1:19" s="2" customFormat="1" ht="13.95" hidden="1" customHeight="1" x14ac:dyDescent="0.3">
      <c r="A41" s="43"/>
      <c r="B41" s="44"/>
      <c r="C41" s="45"/>
      <c r="D41" s="45"/>
      <c r="E41" s="43"/>
      <c r="F41" s="43"/>
      <c r="G41" s="43"/>
      <c r="H41" s="43"/>
      <c r="I41" s="43"/>
      <c r="J41" s="43"/>
      <c r="K41" s="43"/>
    </row>
    <row r="42" spans="1:19" s="2" customFormat="1" ht="13.95" hidden="1" customHeight="1" x14ac:dyDescent="0.3">
      <c r="A42" s="43"/>
      <c r="B42" s="44"/>
      <c r="C42" s="45"/>
      <c r="D42" s="45"/>
      <c r="E42" s="43"/>
      <c r="F42" s="43"/>
      <c r="G42" s="43"/>
      <c r="H42" s="43"/>
      <c r="I42" s="43"/>
      <c r="J42" s="43"/>
      <c r="K42" s="43"/>
    </row>
    <row r="43" spans="1:19" s="2" customFormat="1" ht="14.25" hidden="1" customHeight="1" x14ac:dyDescent="0.3">
      <c r="A43" s="43"/>
      <c r="B43" s="44"/>
      <c r="C43" s="45"/>
      <c r="D43" s="45"/>
      <c r="E43" s="43"/>
      <c r="F43" s="43"/>
      <c r="G43" s="43"/>
      <c r="H43" s="43"/>
      <c r="I43" s="43"/>
      <c r="J43" s="43"/>
      <c r="K43" s="43"/>
    </row>
    <row r="44" spans="1:19" s="2" customFormat="1" ht="14.25" hidden="1" customHeight="1" x14ac:dyDescent="0.3">
      <c r="A44" s="43"/>
      <c r="B44" s="44"/>
      <c r="C44" s="45"/>
      <c r="D44" s="45"/>
      <c r="E44" s="43"/>
      <c r="F44" s="43"/>
      <c r="G44" s="43"/>
      <c r="H44" s="43"/>
      <c r="I44" s="43"/>
      <c r="J44" s="43"/>
      <c r="K44" s="43"/>
    </row>
    <row r="45" spans="1:19" ht="15" thickBot="1" x14ac:dyDescent="0.35">
      <c r="A45" s="40"/>
      <c r="B45" s="41"/>
      <c r="C45" s="42"/>
      <c r="D45" s="42"/>
      <c r="E45" s="40"/>
      <c r="F45" s="40"/>
      <c r="G45" s="40"/>
      <c r="H45" s="40"/>
      <c r="I45" s="40"/>
      <c r="J45" s="40"/>
      <c r="K45" s="40"/>
      <c r="P45" s="3"/>
      <c r="Q45" s="3"/>
      <c r="R45" s="4"/>
      <c r="S45" s="4"/>
    </row>
    <row r="46" spans="1:19" ht="15" thickBot="1" x14ac:dyDescent="0.35">
      <c r="B46" s="34" t="s">
        <v>31</v>
      </c>
      <c r="C46" s="12">
        <f>SUM(C4:C40)-SUM(D4:D40)</f>
        <v>55</v>
      </c>
      <c r="D46" s="29"/>
      <c r="F46" s="35" t="s">
        <v>57</v>
      </c>
      <c r="G46" s="36">
        <f>COUNTIF(I4:I41,"Pending")</f>
        <v>10</v>
      </c>
      <c r="I46" s="38" t="s">
        <v>58</v>
      </c>
      <c r="J46" s="39">
        <f>C46-G46</f>
        <v>45</v>
      </c>
    </row>
    <row r="47" spans="1:19" x14ac:dyDescent="0.3">
      <c r="G47" s="3"/>
      <c r="H47" s="4"/>
      <c r="I47" s="3"/>
    </row>
    <row r="48" spans="1:19" hidden="1" x14ac:dyDescent="0.3">
      <c r="D48" s="13"/>
    </row>
    <row r="49" spans="1:11" s="6" customFormat="1" ht="28.8" x14ac:dyDescent="0.3">
      <c r="A49" s="28" t="s">
        <v>0</v>
      </c>
      <c r="B49" s="28" t="s">
        <v>1</v>
      </c>
      <c r="C49" s="28" t="s">
        <v>2</v>
      </c>
      <c r="D49" s="28" t="s">
        <v>3</v>
      </c>
      <c r="E49" s="28" t="s">
        <v>4</v>
      </c>
      <c r="F49" s="28" t="s">
        <v>51</v>
      </c>
      <c r="G49" s="28" t="s">
        <v>52</v>
      </c>
      <c r="H49" s="28" t="s">
        <v>5</v>
      </c>
      <c r="I49" s="28" t="s">
        <v>53</v>
      </c>
      <c r="J49" s="28" t="s">
        <v>27</v>
      </c>
      <c r="K49" s="28" t="s">
        <v>6</v>
      </c>
    </row>
    <row r="50" spans="1:11" s="14" customFormat="1" x14ac:dyDescent="0.3">
      <c r="A50" s="19" t="s">
        <v>170</v>
      </c>
      <c r="B50" s="20">
        <v>46013</v>
      </c>
      <c r="C50" s="21">
        <v>1</v>
      </c>
      <c r="D50" s="21">
        <v>0</v>
      </c>
      <c r="E50" s="19" t="s">
        <v>171</v>
      </c>
      <c r="F50" s="59" t="s">
        <v>131</v>
      </c>
      <c r="G50" s="19" t="s">
        <v>32</v>
      </c>
      <c r="H50" s="19" t="s">
        <v>148</v>
      </c>
      <c r="I50" s="19" t="s">
        <v>20</v>
      </c>
      <c r="J50" s="19" t="s">
        <v>105</v>
      </c>
      <c r="K50" s="19" t="s">
        <v>19</v>
      </c>
    </row>
    <row r="51" spans="1:11" s="14" customFormat="1" hidden="1" x14ac:dyDescent="0.3">
      <c r="A51" s="7"/>
      <c r="B51" s="8"/>
      <c r="C51" s="9"/>
      <c r="D51" s="9"/>
      <c r="E51" s="7"/>
      <c r="F51" s="7"/>
      <c r="G51" s="7"/>
      <c r="H51" s="7"/>
      <c r="I51" s="7"/>
      <c r="J51" s="7"/>
      <c r="K51" s="7"/>
    </row>
    <row r="52" spans="1:11" s="14" customFormat="1" ht="15" hidden="1" customHeight="1" x14ac:dyDescent="0.3">
      <c r="A52" s="7"/>
      <c r="B52" s="8"/>
      <c r="C52" s="9"/>
      <c r="D52" s="9"/>
      <c r="E52" s="7"/>
      <c r="F52" s="7"/>
      <c r="G52" s="7"/>
      <c r="H52" s="7"/>
      <c r="I52" s="7"/>
      <c r="J52" s="7"/>
      <c r="K52" s="31"/>
    </row>
    <row r="53" spans="1:11" s="14" customFormat="1" ht="15" hidden="1" customHeight="1" x14ac:dyDescent="0.3">
      <c r="A53" s="15"/>
      <c r="B53" s="16"/>
      <c r="C53" s="17"/>
      <c r="D53" s="17"/>
      <c r="E53" s="15"/>
      <c r="F53" s="15"/>
      <c r="G53" s="15"/>
      <c r="H53" s="15"/>
      <c r="I53" s="15"/>
      <c r="J53" s="15"/>
      <c r="K53" s="31"/>
    </row>
    <row r="54" spans="1:11" s="18" customFormat="1" ht="15" hidden="1" customHeight="1" x14ac:dyDescent="0.3">
      <c r="A54" s="15"/>
      <c r="B54" s="16"/>
      <c r="C54" s="17"/>
      <c r="D54" s="17"/>
      <c r="E54" s="15"/>
      <c r="F54" s="15"/>
      <c r="G54" s="15"/>
      <c r="H54" s="15"/>
      <c r="I54" s="15"/>
      <c r="J54" s="15"/>
      <c r="K54" s="32"/>
    </row>
    <row r="55" spans="1:11" s="18" customFormat="1" ht="15" hidden="1" customHeight="1" x14ac:dyDescent="0.3">
      <c r="A55" s="19"/>
      <c r="B55" s="20"/>
      <c r="C55" s="21"/>
      <c r="D55" s="21"/>
      <c r="E55" s="19"/>
      <c r="F55" s="19"/>
      <c r="G55" s="19"/>
      <c r="H55" s="19"/>
      <c r="I55" s="19"/>
      <c r="J55" s="19"/>
      <c r="K55" s="32"/>
    </row>
    <row r="56" spans="1:11" s="18" customFormat="1" ht="15" hidden="1" customHeight="1" x14ac:dyDescent="0.3">
      <c r="A56" s="19"/>
      <c r="B56" s="20"/>
      <c r="C56" s="21"/>
      <c r="D56" s="21"/>
      <c r="E56" s="19"/>
      <c r="F56" s="19"/>
      <c r="G56" s="19"/>
      <c r="H56" s="19"/>
      <c r="I56" s="19"/>
      <c r="J56" s="19"/>
      <c r="K56" s="32"/>
    </row>
    <row r="57" spans="1:11" s="18" customFormat="1" ht="15" hidden="1" customHeight="1" x14ac:dyDescent="0.3">
      <c r="A57" s="19"/>
      <c r="B57" s="20"/>
      <c r="C57" s="21"/>
      <c r="D57" s="21"/>
      <c r="E57" s="19"/>
      <c r="F57" s="19"/>
      <c r="G57" s="19"/>
      <c r="H57" s="19"/>
      <c r="I57" s="19"/>
      <c r="J57" s="19"/>
      <c r="K57" s="32"/>
    </row>
    <row r="58" spans="1:11" s="18" customFormat="1" ht="15" hidden="1" customHeight="1" x14ac:dyDescent="0.3">
      <c r="A58" s="47"/>
      <c r="B58" s="48"/>
      <c r="C58" s="49"/>
      <c r="D58" s="49"/>
      <c r="E58" s="47"/>
      <c r="F58" s="47"/>
      <c r="G58" s="47"/>
      <c r="H58" s="47"/>
      <c r="I58" s="47"/>
      <c r="J58" s="47"/>
      <c r="K58" s="50"/>
    </row>
    <row r="59" spans="1:11" ht="15" thickBot="1" x14ac:dyDescent="0.35">
      <c r="A59" s="51"/>
      <c r="B59" s="52"/>
      <c r="C59" s="53"/>
      <c r="D59" s="53"/>
      <c r="E59" s="51"/>
      <c r="F59" s="51"/>
      <c r="G59" s="51"/>
      <c r="H59" s="51"/>
      <c r="I59" s="51"/>
      <c r="J59" s="51"/>
      <c r="K59" s="2"/>
    </row>
    <row r="60" spans="1:11" ht="15" thickBot="1" x14ac:dyDescent="0.35">
      <c r="B60" s="60" t="s">
        <v>34</v>
      </c>
      <c r="C60" s="61">
        <f>SUM(C50:C51)-SUM(D50:D51)</f>
        <v>1</v>
      </c>
      <c r="E60" s="2"/>
      <c r="F60" s="2"/>
      <c r="H60" s="2"/>
      <c r="J60" s="2"/>
      <c r="K60" s="2"/>
    </row>
    <row r="61" spans="1:11" x14ac:dyDescent="0.3">
      <c r="E61" s="2"/>
      <c r="F61" s="2"/>
      <c r="H61" s="2"/>
      <c r="J61" s="2"/>
      <c r="K61" s="2"/>
    </row>
    <row r="62" spans="1:11" hidden="1" x14ac:dyDescent="0.3">
      <c r="E62" s="2"/>
      <c r="F62" s="2"/>
      <c r="H62" s="2"/>
      <c r="J62" s="2"/>
      <c r="K62" s="2"/>
    </row>
    <row r="63" spans="1:11" s="2" customFormat="1" ht="34.35" customHeight="1" x14ac:dyDescent="0.3">
      <c r="A63" s="28" t="s">
        <v>0</v>
      </c>
      <c r="B63" s="28" t="s">
        <v>1</v>
      </c>
      <c r="C63" s="28" t="s">
        <v>2</v>
      </c>
      <c r="D63" s="28" t="s">
        <v>3</v>
      </c>
      <c r="E63" s="28" t="s">
        <v>4</v>
      </c>
      <c r="F63" s="28" t="s">
        <v>51</v>
      </c>
      <c r="G63" s="28" t="s">
        <v>52</v>
      </c>
      <c r="H63" s="28" t="s">
        <v>5</v>
      </c>
      <c r="I63" s="28" t="s">
        <v>53</v>
      </c>
      <c r="J63" s="28" t="s">
        <v>27</v>
      </c>
      <c r="K63" s="28" t="s">
        <v>6</v>
      </c>
    </row>
    <row r="64" spans="1:11" x14ac:dyDescent="0.3">
      <c r="A64" s="19" t="s">
        <v>198</v>
      </c>
      <c r="B64" s="20">
        <v>46031</v>
      </c>
      <c r="C64" s="21">
        <v>1</v>
      </c>
      <c r="D64" s="21">
        <v>0</v>
      </c>
      <c r="E64" s="19" t="s">
        <v>199</v>
      </c>
      <c r="F64" s="19" t="s">
        <v>200</v>
      </c>
      <c r="G64" s="19" t="s">
        <v>55</v>
      </c>
      <c r="H64" s="19" t="s">
        <v>33</v>
      </c>
      <c r="I64" s="19" t="s">
        <v>20</v>
      </c>
      <c r="J64" s="19" t="s">
        <v>12</v>
      </c>
      <c r="K64" s="19" t="s">
        <v>24</v>
      </c>
    </row>
    <row r="65" spans="1:29" x14ac:dyDescent="0.3">
      <c r="A65" s="19" t="s">
        <v>204</v>
      </c>
      <c r="B65" s="20">
        <v>46035</v>
      </c>
      <c r="C65" s="21">
        <v>1</v>
      </c>
      <c r="D65" s="21">
        <v>0</v>
      </c>
      <c r="E65" s="19" t="s">
        <v>205</v>
      </c>
      <c r="F65" s="58" t="s">
        <v>98</v>
      </c>
      <c r="G65" s="19" t="s">
        <v>55</v>
      </c>
      <c r="H65" s="19" t="s">
        <v>183</v>
      </c>
      <c r="I65" s="19" t="s">
        <v>20</v>
      </c>
      <c r="J65" s="19" t="s">
        <v>206</v>
      </c>
      <c r="K65" s="19" t="s">
        <v>13</v>
      </c>
    </row>
    <row r="66" spans="1:29" x14ac:dyDescent="0.3">
      <c r="A66" s="19" t="s">
        <v>209</v>
      </c>
      <c r="B66" s="20">
        <v>46035</v>
      </c>
      <c r="C66" s="21">
        <v>1</v>
      </c>
      <c r="D66" s="21">
        <v>0</v>
      </c>
      <c r="E66" s="19" t="s">
        <v>210</v>
      </c>
      <c r="F66" s="58" t="s">
        <v>98</v>
      </c>
      <c r="G66" s="19" t="s">
        <v>55</v>
      </c>
      <c r="H66" s="19" t="s">
        <v>183</v>
      </c>
      <c r="I66" s="19" t="s">
        <v>20</v>
      </c>
      <c r="J66" s="19" t="s">
        <v>206</v>
      </c>
      <c r="K66" s="19" t="s">
        <v>13</v>
      </c>
    </row>
    <row r="67" spans="1:29" x14ac:dyDescent="0.3">
      <c r="A67" s="19" t="s">
        <v>217</v>
      </c>
      <c r="B67" s="20">
        <v>46037</v>
      </c>
      <c r="C67" s="21">
        <v>1</v>
      </c>
      <c r="D67" s="21">
        <v>0</v>
      </c>
      <c r="E67" s="19" t="s">
        <v>218</v>
      </c>
      <c r="F67" s="19" t="s">
        <v>200</v>
      </c>
      <c r="G67" s="19" t="s">
        <v>55</v>
      </c>
      <c r="H67" s="19" t="s">
        <v>148</v>
      </c>
      <c r="I67" s="19" t="s">
        <v>20</v>
      </c>
      <c r="J67" s="19" t="s">
        <v>121</v>
      </c>
      <c r="K67" s="19" t="s">
        <v>13</v>
      </c>
    </row>
    <row r="68" spans="1:29" x14ac:dyDescent="0.3">
      <c r="A68" s="19" t="s">
        <v>221</v>
      </c>
      <c r="B68" s="20">
        <v>46042</v>
      </c>
      <c r="C68" s="21">
        <v>2</v>
      </c>
      <c r="D68" s="21">
        <v>0</v>
      </c>
      <c r="E68" s="19" t="s">
        <v>201</v>
      </c>
      <c r="F68" s="19" t="s">
        <v>200</v>
      </c>
      <c r="G68" s="19" t="s">
        <v>55</v>
      </c>
      <c r="H68" s="19" t="s">
        <v>33</v>
      </c>
      <c r="I68" s="19" t="s">
        <v>20</v>
      </c>
      <c r="J68" s="19" t="s">
        <v>105</v>
      </c>
      <c r="K68" s="19" t="s">
        <v>43</v>
      </c>
    </row>
    <row r="69" spans="1:29" x14ac:dyDescent="0.3">
      <c r="A69" s="19" t="s">
        <v>222</v>
      </c>
      <c r="B69" s="20">
        <v>46042</v>
      </c>
      <c r="C69" s="21">
        <v>1</v>
      </c>
      <c r="D69" s="21">
        <v>0</v>
      </c>
      <c r="E69" s="19" t="s">
        <v>223</v>
      </c>
      <c r="F69" s="19" t="s">
        <v>200</v>
      </c>
      <c r="G69" s="19" t="s">
        <v>55</v>
      </c>
      <c r="H69" s="19" t="s">
        <v>33</v>
      </c>
      <c r="I69" s="19" t="s">
        <v>20</v>
      </c>
      <c r="J69" s="19" t="s">
        <v>180</v>
      </c>
      <c r="K69" s="19" t="s">
        <v>13</v>
      </c>
    </row>
    <row r="70" spans="1:29" s="2" customFormat="1" x14ac:dyDescent="0.3">
      <c r="A70" s="19" t="s">
        <v>224</v>
      </c>
      <c r="B70" s="20">
        <v>46043</v>
      </c>
      <c r="C70" s="21">
        <v>1</v>
      </c>
      <c r="D70" s="21">
        <v>0</v>
      </c>
      <c r="E70" s="19" t="s">
        <v>225</v>
      </c>
      <c r="F70" s="19" t="s">
        <v>200</v>
      </c>
      <c r="G70" s="19" t="s">
        <v>55</v>
      </c>
      <c r="H70" s="19" t="s">
        <v>33</v>
      </c>
      <c r="I70" s="19" t="s">
        <v>20</v>
      </c>
      <c r="J70" s="19" t="s">
        <v>180</v>
      </c>
      <c r="K70" s="19" t="s">
        <v>13</v>
      </c>
      <c r="L70" s="4"/>
      <c r="M70" s="4"/>
      <c r="N70" s="4"/>
      <c r="O70" s="4"/>
      <c r="P70" s="4"/>
      <c r="Q70" s="4"/>
      <c r="R70" s="3"/>
      <c r="S70" s="3"/>
      <c r="T70" s="4"/>
      <c r="U70" s="4"/>
      <c r="V70" s="4"/>
      <c r="W70" s="4"/>
      <c r="X70" s="4"/>
      <c r="Y70" s="4"/>
      <c r="Z70" s="4"/>
      <c r="AA70" s="4"/>
      <c r="AB70" s="4"/>
      <c r="AC70" s="4"/>
    </row>
    <row r="71" spans="1:29" s="2" customFormat="1" x14ac:dyDescent="0.3">
      <c r="A71" s="19" t="s">
        <v>226</v>
      </c>
      <c r="B71" s="20">
        <v>46043</v>
      </c>
      <c r="C71" s="21">
        <v>2</v>
      </c>
      <c r="D71" s="21">
        <v>0</v>
      </c>
      <c r="E71" s="19" t="s">
        <v>227</v>
      </c>
      <c r="F71" s="19" t="s">
        <v>200</v>
      </c>
      <c r="G71" s="19" t="s">
        <v>55</v>
      </c>
      <c r="H71" s="19" t="s">
        <v>33</v>
      </c>
      <c r="I71" s="19" t="s">
        <v>20</v>
      </c>
      <c r="J71" s="19" t="s">
        <v>180</v>
      </c>
      <c r="K71" s="19" t="s">
        <v>13</v>
      </c>
      <c r="L71" s="4"/>
      <c r="M71" s="4"/>
      <c r="N71" s="4"/>
      <c r="O71" s="4"/>
      <c r="P71" s="4"/>
      <c r="Q71" s="4"/>
      <c r="R71" s="3"/>
      <c r="S71" s="3"/>
      <c r="T71" s="4"/>
      <c r="U71" s="4"/>
      <c r="V71" s="4"/>
      <c r="W71" s="4"/>
      <c r="X71" s="4"/>
      <c r="Y71" s="4"/>
      <c r="Z71" s="4"/>
      <c r="AA71" s="4"/>
      <c r="AB71" s="4"/>
      <c r="AC71" s="4"/>
    </row>
    <row r="72" spans="1:29" s="2" customFormat="1" x14ac:dyDescent="0.3">
      <c r="A72" s="19" t="s">
        <v>228</v>
      </c>
      <c r="B72" s="20">
        <v>46043</v>
      </c>
      <c r="C72" s="21">
        <v>1</v>
      </c>
      <c r="D72" s="21">
        <v>0</v>
      </c>
      <c r="E72" s="19" t="s">
        <v>30</v>
      </c>
      <c r="F72" s="19" t="s">
        <v>200</v>
      </c>
      <c r="G72" s="19" t="s">
        <v>55</v>
      </c>
      <c r="H72" s="19" t="s">
        <v>8</v>
      </c>
      <c r="I72" s="19" t="s">
        <v>20</v>
      </c>
      <c r="J72" s="19" t="s">
        <v>12</v>
      </c>
      <c r="K72" s="19" t="s">
        <v>24</v>
      </c>
      <c r="L72" s="4"/>
      <c r="M72" s="4"/>
      <c r="N72" s="4"/>
      <c r="O72" s="4"/>
      <c r="P72" s="4"/>
      <c r="Q72" s="4"/>
      <c r="R72" s="3"/>
      <c r="S72" s="3"/>
      <c r="T72" s="4"/>
      <c r="U72" s="4"/>
      <c r="V72" s="4"/>
      <c r="W72" s="4"/>
      <c r="X72" s="4"/>
      <c r="Y72" s="4"/>
      <c r="Z72" s="4"/>
      <c r="AA72" s="4"/>
      <c r="AB72" s="4"/>
      <c r="AC72" s="4"/>
    </row>
    <row r="73" spans="1:29" s="2" customFormat="1" x14ac:dyDescent="0.3">
      <c r="A73" s="19" t="s">
        <v>229</v>
      </c>
      <c r="B73" s="20">
        <v>46043</v>
      </c>
      <c r="C73" s="21">
        <v>3</v>
      </c>
      <c r="D73" s="21">
        <v>0</v>
      </c>
      <c r="E73" s="19" t="s">
        <v>45</v>
      </c>
      <c r="F73" s="58" t="s">
        <v>98</v>
      </c>
      <c r="G73" s="19" t="s">
        <v>55</v>
      </c>
      <c r="H73" s="19" t="s">
        <v>33</v>
      </c>
      <c r="I73" s="19" t="s">
        <v>20</v>
      </c>
      <c r="J73" s="19" t="s">
        <v>121</v>
      </c>
      <c r="K73" s="19" t="s">
        <v>13</v>
      </c>
      <c r="L73" s="4"/>
      <c r="M73" s="4"/>
      <c r="N73" s="4"/>
      <c r="O73" s="4"/>
      <c r="P73" s="4"/>
      <c r="Q73" s="4"/>
      <c r="R73" s="3"/>
      <c r="S73" s="3"/>
      <c r="T73" s="4"/>
      <c r="U73" s="4"/>
      <c r="V73" s="4"/>
      <c r="W73" s="4"/>
      <c r="X73" s="4"/>
      <c r="Y73" s="4"/>
      <c r="Z73" s="4"/>
      <c r="AA73" s="4"/>
      <c r="AB73" s="4"/>
      <c r="AC73" s="4"/>
    </row>
    <row r="74" spans="1:29" s="2" customFormat="1" x14ac:dyDescent="0.3">
      <c r="A74" s="19" t="s">
        <v>230</v>
      </c>
      <c r="B74" s="20">
        <v>46043</v>
      </c>
      <c r="C74" s="21">
        <v>1</v>
      </c>
      <c r="D74" s="21">
        <v>0</v>
      </c>
      <c r="E74" s="19" t="s">
        <v>166</v>
      </c>
      <c r="F74" s="19" t="s">
        <v>200</v>
      </c>
      <c r="G74" s="19" t="s">
        <v>55</v>
      </c>
      <c r="H74" s="19" t="s">
        <v>33</v>
      </c>
      <c r="I74" s="19" t="s">
        <v>20</v>
      </c>
      <c r="J74" s="19" t="s">
        <v>166</v>
      </c>
      <c r="K74" s="19" t="s">
        <v>24</v>
      </c>
      <c r="L74" s="4"/>
      <c r="M74" s="4"/>
      <c r="N74" s="4"/>
      <c r="O74" s="4"/>
      <c r="P74" s="4"/>
      <c r="Q74" s="4"/>
      <c r="R74" s="3"/>
      <c r="S74" s="3"/>
      <c r="T74" s="4"/>
      <c r="U74" s="4"/>
      <c r="V74" s="4"/>
      <c r="W74" s="4"/>
      <c r="X74" s="4"/>
      <c r="Y74" s="4"/>
      <c r="Z74" s="4"/>
      <c r="AA74" s="4"/>
      <c r="AB74" s="4"/>
      <c r="AC74" s="4"/>
    </row>
    <row r="75" spans="1:29" s="2" customFormat="1" ht="15" thickBot="1" x14ac:dyDescent="0.35">
      <c r="A75" s="51"/>
      <c r="B75" s="52"/>
      <c r="C75" s="53"/>
      <c r="D75" s="53"/>
      <c r="E75" s="51"/>
      <c r="F75" s="51"/>
      <c r="G75" s="51"/>
      <c r="H75" s="51"/>
      <c r="I75" s="51"/>
      <c r="J75" s="51"/>
      <c r="K75" s="51"/>
      <c r="L75" s="4"/>
      <c r="M75" s="4"/>
      <c r="N75" s="4"/>
      <c r="O75" s="4"/>
      <c r="P75" s="4"/>
      <c r="Q75" s="4"/>
      <c r="R75" s="3"/>
      <c r="S75" s="3"/>
      <c r="T75" s="4"/>
      <c r="U75" s="4"/>
      <c r="V75" s="4"/>
      <c r="W75" s="4"/>
      <c r="X75" s="4"/>
      <c r="Y75" s="4"/>
      <c r="Z75" s="4"/>
      <c r="AA75" s="4"/>
      <c r="AB75" s="4"/>
      <c r="AC75" s="4"/>
    </row>
    <row r="76" spans="1:29" ht="15" thickBot="1" x14ac:dyDescent="0.35">
      <c r="B76" s="38" t="s">
        <v>35</v>
      </c>
      <c r="C76" s="22">
        <f>SUM(C64:C74)-SUM(D64:D74)</f>
        <v>15</v>
      </c>
    </row>
  </sheetData>
  <autoFilter ref="A3:J38" xr:uid="{6E392464-0CD5-4B6C-9B5A-A4EF4B03C567}"/>
  <conditionalFormatting sqref="F1:F44 F47:F1048576">
    <cfRule type="cellIs" dxfId="291" priority="3" operator="equal">
      <formula>"Non-Billable"</formula>
    </cfRule>
    <cfRule type="cellIs" dxfId="290" priority="4" operator="equal">
      <formula>"Billable"</formula>
    </cfRule>
  </conditionalFormatting>
  <conditionalFormatting sqref="F45">
    <cfRule type="cellIs" dxfId="289" priority="12" operator="equal">
      <formula>"Not Accepting Application"</formula>
    </cfRule>
    <cfRule type="cellIs" dxfId="288" priority="13" operator="equal">
      <formula>"Y"</formula>
    </cfRule>
  </conditionalFormatting>
  <conditionalFormatting sqref="H1:H2 H4:H44 F45 H46:H48 H50:H62 H64:H1048576">
    <cfRule type="cellIs" dxfId="287" priority="10" operator="equal">
      <formula>"Not accpeting applications"</formula>
    </cfRule>
  </conditionalFormatting>
  <conditionalFormatting sqref="H1:H2 H4:H44 H46:H48 H50:H62 AG64:AG76 H64:H1048576">
    <cfRule type="cellIs" dxfId="286" priority="8" operator="equal">
      <formula>"Not Accepting Applications"</formula>
    </cfRule>
  </conditionalFormatting>
  <conditionalFormatting sqref="H4:H44">
    <cfRule type="cellIs" dxfId="285" priority="11" operator="equal">
      <formula>"Accepting Applications"</formula>
    </cfRule>
  </conditionalFormatting>
  <conditionalFormatting sqref="H50:H52">
    <cfRule type="cellIs" dxfId="284" priority="9" operator="equal">
      <formula>"Not accepting applications"</formula>
    </cfRule>
  </conditionalFormatting>
  <conditionalFormatting sqref="H54:H58">
    <cfRule type="cellIs" dxfId="283" priority="15" operator="equal">
      <formula>"Not Accepting Application"</formula>
    </cfRule>
    <cfRule type="cellIs" dxfId="282" priority="16" operator="equal">
      <formula>"Accepting Applications"</formula>
    </cfRule>
    <cfRule type="cellIs" dxfId="281" priority="17" operator="equal">
      <formula>"Y"</formula>
    </cfRule>
  </conditionalFormatting>
  <conditionalFormatting sqref="I1:I44 F45:G45 I47:I1048576">
    <cfRule type="cellIs" dxfId="280" priority="6" operator="equal">
      <formula>"Accepting Applications"</formula>
    </cfRule>
    <cfRule type="cellIs" dxfId="279" priority="7" operator="equal">
      <formula>"Not Accepting Applications"</formula>
    </cfRule>
  </conditionalFormatting>
  <conditionalFormatting sqref="I1:I44 G45 I47:I1048576">
    <cfRule type="cellIs" dxfId="278" priority="5" operator="equal">
      <formula>"Pending"</formula>
    </cfRule>
  </conditionalFormatting>
  <pageMargins left="0.7" right="0.7" top="0.75" bottom="0.75" header="0.3" footer="0.3"/>
  <pageSetup orientation="landscape" horizontalDpi="4294967295" verticalDpi="4294967295"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C01CE-D3DF-4140-9946-DC64F223EA0E}">
  <sheetPr>
    <tabColor theme="2" tint="-9.9978637043366805E-2"/>
  </sheetPr>
  <dimension ref="A1:AC76"/>
  <sheetViews>
    <sheetView showGridLines="0" topLeftCell="A4" zoomScale="81" zoomScaleNormal="100" workbookViewId="0">
      <selection activeCell="A35" sqref="A35:E35"/>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0.52500000000000002</v>
      </c>
      <c r="B1" s="37">
        <v>46041</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43" t="s">
        <v>59</v>
      </c>
      <c r="B4" s="44">
        <v>45937</v>
      </c>
      <c r="C4" s="45">
        <v>5</v>
      </c>
      <c r="D4" s="45">
        <v>1</v>
      </c>
      <c r="E4" s="43" t="s">
        <v>46</v>
      </c>
      <c r="F4" s="43" t="s">
        <v>200</v>
      </c>
      <c r="G4" s="43" t="s">
        <v>7</v>
      </c>
      <c r="H4" s="43" t="s">
        <v>23</v>
      </c>
      <c r="I4" s="43" t="s">
        <v>9</v>
      </c>
      <c r="J4" s="43" t="s">
        <v>49</v>
      </c>
      <c r="K4" s="43" t="s">
        <v>48</v>
      </c>
      <c r="AB4" s="2" t="s">
        <v>10</v>
      </c>
      <c r="AC4" s="2" t="s">
        <v>11</v>
      </c>
    </row>
    <row r="5" spans="1:29" s="2" customFormat="1" x14ac:dyDescent="0.3">
      <c r="A5" s="43" t="s">
        <v>62</v>
      </c>
      <c r="B5" s="44">
        <v>45919</v>
      </c>
      <c r="C5" s="45">
        <v>5</v>
      </c>
      <c r="D5" s="45">
        <v>4</v>
      </c>
      <c r="E5" s="43" t="s">
        <v>63</v>
      </c>
      <c r="F5" s="43" t="s">
        <v>200</v>
      </c>
      <c r="G5" s="43" t="s">
        <v>7</v>
      </c>
      <c r="H5" s="43" t="s">
        <v>64</v>
      </c>
      <c r="I5" s="43" t="s">
        <v>9</v>
      </c>
      <c r="J5" s="43" t="s">
        <v>65</v>
      </c>
      <c r="K5" s="43" t="s">
        <v>48</v>
      </c>
      <c r="AB5" s="2" t="s">
        <v>14</v>
      </c>
      <c r="AC5" s="2">
        <v>17</v>
      </c>
    </row>
    <row r="6" spans="1:29" s="2" customFormat="1" x14ac:dyDescent="0.3">
      <c r="A6" s="43" t="s">
        <v>69</v>
      </c>
      <c r="B6" s="44">
        <v>46038</v>
      </c>
      <c r="C6" s="45">
        <v>2</v>
      </c>
      <c r="D6" s="45">
        <v>0</v>
      </c>
      <c r="E6" s="43" t="s">
        <v>40</v>
      </c>
      <c r="F6" s="43" t="s">
        <v>98</v>
      </c>
      <c r="G6" s="43" t="s">
        <v>7</v>
      </c>
      <c r="H6" s="43" t="s">
        <v>18</v>
      </c>
      <c r="I6" s="43" t="s">
        <v>56</v>
      </c>
      <c r="J6" s="43" t="s">
        <v>70</v>
      </c>
      <c r="K6" s="43" t="s">
        <v>48</v>
      </c>
      <c r="N6" s="10"/>
      <c r="AB6" s="2" t="s">
        <v>15</v>
      </c>
      <c r="AC6" s="2">
        <v>3</v>
      </c>
    </row>
    <row r="7" spans="1:29" s="2" customFormat="1" x14ac:dyDescent="0.3">
      <c r="A7" s="43" t="s">
        <v>74</v>
      </c>
      <c r="B7" s="44">
        <v>46030</v>
      </c>
      <c r="C7" s="45">
        <v>1</v>
      </c>
      <c r="D7" s="45">
        <v>0</v>
      </c>
      <c r="E7" s="43" t="s">
        <v>75</v>
      </c>
      <c r="F7" s="43" t="s">
        <v>98</v>
      </c>
      <c r="G7" s="43" t="s">
        <v>7</v>
      </c>
      <c r="H7" s="43" t="s">
        <v>76</v>
      </c>
      <c r="I7" s="43" t="s">
        <v>20</v>
      </c>
      <c r="J7" s="43" t="s">
        <v>77</v>
      </c>
      <c r="K7" s="43" t="s">
        <v>13</v>
      </c>
      <c r="N7" s="10"/>
      <c r="V7" s="11"/>
      <c r="AB7" s="2" t="s">
        <v>16</v>
      </c>
      <c r="AC7" s="2">
        <v>4</v>
      </c>
    </row>
    <row r="8" spans="1:29" s="2" customFormat="1" x14ac:dyDescent="0.3">
      <c r="A8" s="43" t="s">
        <v>78</v>
      </c>
      <c r="B8" s="44">
        <v>45938</v>
      </c>
      <c r="C8" s="45">
        <v>3</v>
      </c>
      <c r="D8" s="45">
        <v>2</v>
      </c>
      <c r="E8" s="43" t="s">
        <v>46</v>
      </c>
      <c r="F8" s="43" t="s">
        <v>200</v>
      </c>
      <c r="G8" s="43" t="s">
        <v>7</v>
      </c>
      <c r="H8" s="43" t="s">
        <v>79</v>
      </c>
      <c r="I8" s="43" t="s">
        <v>20</v>
      </c>
      <c r="J8" s="43" t="s">
        <v>80</v>
      </c>
      <c r="K8" s="43" t="s">
        <v>13</v>
      </c>
      <c r="N8" s="10"/>
    </row>
    <row r="9" spans="1:29" s="2" customFormat="1" x14ac:dyDescent="0.3">
      <c r="A9" s="43" t="s">
        <v>167</v>
      </c>
      <c r="B9" s="44">
        <v>46036</v>
      </c>
      <c r="C9" s="45">
        <v>1</v>
      </c>
      <c r="D9" s="45">
        <v>0</v>
      </c>
      <c r="E9" s="43" t="s">
        <v>201</v>
      </c>
      <c r="F9" s="43" t="s">
        <v>200</v>
      </c>
      <c r="G9" s="43" t="s">
        <v>7</v>
      </c>
      <c r="H9" s="43" t="s">
        <v>148</v>
      </c>
      <c r="I9" s="43" t="s">
        <v>20</v>
      </c>
      <c r="J9" s="43" t="s">
        <v>105</v>
      </c>
      <c r="K9" s="43" t="s">
        <v>43</v>
      </c>
      <c r="N9" s="10"/>
    </row>
    <row r="10" spans="1:29" s="2" customFormat="1" x14ac:dyDescent="0.3">
      <c r="A10" s="43" t="s">
        <v>81</v>
      </c>
      <c r="B10" s="44">
        <v>46034</v>
      </c>
      <c r="C10" s="45">
        <v>2</v>
      </c>
      <c r="D10" s="45">
        <v>0</v>
      </c>
      <c r="E10" s="43" t="s">
        <v>41</v>
      </c>
      <c r="F10" s="43" t="s">
        <v>98</v>
      </c>
      <c r="G10" s="43" t="s">
        <v>7</v>
      </c>
      <c r="H10" s="43" t="s">
        <v>18</v>
      </c>
      <c r="I10" s="43" t="s">
        <v>56</v>
      </c>
      <c r="J10" s="43" t="s">
        <v>82</v>
      </c>
      <c r="K10" s="43" t="s">
        <v>22</v>
      </c>
      <c r="N10" s="10"/>
    </row>
    <row r="11" spans="1:29" s="2" customFormat="1" x14ac:dyDescent="0.3">
      <c r="A11" s="43" t="s">
        <v>85</v>
      </c>
      <c r="B11" s="44">
        <v>45971</v>
      </c>
      <c r="C11" s="45">
        <v>1</v>
      </c>
      <c r="D11" s="45">
        <v>0</v>
      </c>
      <c r="E11" s="43" t="s">
        <v>86</v>
      </c>
      <c r="F11" s="43" t="s">
        <v>98</v>
      </c>
      <c r="G11" s="43" t="s">
        <v>7</v>
      </c>
      <c r="H11" s="43" t="s">
        <v>23</v>
      </c>
      <c r="I11" s="43" t="s">
        <v>20</v>
      </c>
      <c r="J11" s="43" t="s">
        <v>42</v>
      </c>
      <c r="K11" s="43" t="s">
        <v>13</v>
      </c>
    </row>
    <row r="12" spans="1:29" s="2" customFormat="1" x14ac:dyDescent="0.3">
      <c r="A12" s="43" t="s">
        <v>89</v>
      </c>
      <c r="B12" s="44">
        <v>45982</v>
      </c>
      <c r="C12" s="45">
        <v>1</v>
      </c>
      <c r="D12" s="45">
        <v>0</v>
      </c>
      <c r="E12" s="43" t="s">
        <v>90</v>
      </c>
      <c r="F12" s="43" t="s">
        <v>98</v>
      </c>
      <c r="G12" s="43" t="s">
        <v>7</v>
      </c>
      <c r="H12" s="43" t="s">
        <v>64</v>
      </c>
      <c r="I12" s="43" t="s">
        <v>9</v>
      </c>
      <c r="J12" s="43" t="s">
        <v>26</v>
      </c>
      <c r="K12" s="43" t="s">
        <v>91</v>
      </c>
    </row>
    <row r="13" spans="1:29" s="2" customFormat="1" x14ac:dyDescent="0.3">
      <c r="A13" s="43" t="s">
        <v>92</v>
      </c>
      <c r="B13" s="44">
        <v>45971</v>
      </c>
      <c r="C13" s="45">
        <v>1</v>
      </c>
      <c r="D13" s="45">
        <v>0</v>
      </c>
      <c r="E13" s="43" t="s">
        <v>93</v>
      </c>
      <c r="F13" s="43" t="s">
        <v>98</v>
      </c>
      <c r="G13" s="43" t="s">
        <v>7</v>
      </c>
      <c r="H13" s="43" t="s">
        <v>94</v>
      </c>
      <c r="I13" s="43" t="s">
        <v>9</v>
      </c>
      <c r="J13" s="43" t="s">
        <v>95</v>
      </c>
      <c r="K13" s="43" t="s">
        <v>91</v>
      </c>
    </row>
    <row r="14" spans="1:29" s="2" customFormat="1" x14ac:dyDescent="0.3">
      <c r="A14" s="43" t="s">
        <v>96</v>
      </c>
      <c r="B14" s="44">
        <v>45974</v>
      </c>
      <c r="C14" s="45">
        <v>1</v>
      </c>
      <c r="D14" s="45">
        <v>0</v>
      </c>
      <c r="E14" s="43" t="s">
        <v>97</v>
      </c>
      <c r="F14" s="43" t="s">
        <v>98</v>
      </c>
      <c r="G14" s="43" t="s">
        <v>7</v>
      </c>
      <c r="H14" s="43" t="s">
        <v>23</v>
      </c>
      <c r="I14" s="43" t="s">
        <v>9</v>
      </c>
      <c r="J14" s="43" t="s">
        <v>95</v>
      </c>
      <c r="K14" s="43" t="s">
        <v>13</v>
      </c>
    </row>
    <row r="15" spans="1:29" s="2" customFormat="1" x14ac:dyDescent="0.3">
      <c r="A15" s="43" t="s">
        <v>99</v>
      </c>
      <c r="B15" s="44">
        <v>45972</v>
      </c>
      <c r="C15" s="45">
        <v>1</v>
      </c>
      <c r="D15" s="45">
        <v>0</v>
      </c>
      <c r="E15" s="43" t="s">
        <v>166</v>
      </c>
      <c r="F15" s="43" t="s">
        <v>98</v>
      </c>
      <c r="G15" s="43" t="s">
        <v>7</v>
      </c>
      <c r="H15" s="43" t="s">
        <v>44</v>
      </c>
      <c r="I15" s="43" t="s">
        <v>20</v>
      </c>
      <c r="J15" s="43" t="s">
        <v>166</v>
      </c>
      <c r="K15" s="43" t="s">
        <v>13</v>
      </c>
    </row>
    <row r="16" spans="1:29" s="2" customFormat="1" x14ac:dyDescent="0.3">
      <c r="A16" s="43" t="s">
        <v>100</v>
      </c>
      <c r="B16" s="44">
        <v>46038</v>
      </c>
      <c r="C16" s="45">
        <v>2</v>
      </c>
      <c r="D16" s="45">
        <v>0</v>
      </c>
      <c r="E16" s="43" t="s">
        <v>101</v>
      </c>
      <c r="F16" s="43" t="s">
        <v>98</v>
      </c>
      <c r="G16" s="43" t="s">
        <v>7</v>
      </c>
      <c r="H16" s="43" t="s">
        <v>18</v>
      </c>
      <c r="I16" s="43" t="s">
        <v>56</v>
      </c>
      <c r="J16" s="43" t="s">
        <v>103</v>
      </c>
      <c r="K16" s="43" t="s">
        <v>21</v>
      </c>
    </row>
    <row r="17" spans="1:11" s="2" customFormat="1" x14ac:dyDescent="0.3">
      <c r="A17" s="43" t="s">
        <v>106</v>
      </c>
      <c r="B17" s="44">
        <v>46030</v>
      </c>
      <c r="C17" s="45">
        <v>1</v>
      </c>
      <c r="D17" s="45">
        <v>0</v>
      </c>
      <c r="E17" s="43" t="s">
        <v>107</v>
      </c>
      <c r="F17" s="43" t="s">
        <v>200</v>
      </c>
      <c r="G17" s="43" t="s">
        <v>7</v>
      </c>
      <c r="H17" s="43" t="s">
        <v>18</v>
      </c>
      <c r="I17" s="43" t="s">
        <v>56</v>
      </c>
      <c r="J17" s="43" t="s">
        <v>50</v>
      </c>
      <c r="K17" s="43" t="s">
        <v>43</v>
      </c>
    </row>
    <row r="18" spans="1:11" s="2" customFormat="1" x14ac:dyDescent="0.3">
      <c r="A18" s="43" t="s">
        <v>112</v>
      </c>
      <c r="B18" s="44">
        <v>45982</v>
      </c>
      <c r="C18" s="45">
        <v>9</v>
      </c>
      <c r="D18" s="45">
        <v>3</v>
      </c>
      <c r="E18" s="43" t="s">
        <v>29</v>
      </c>
      <c r="F18" s="43" t="s">
        <v>200</v>
      </c>
      <c r="G18" s="43" t="s">
        <v>7</v>
      </c>
      <c r="H18" s="43" t="s">
        <v>113</v>
      </c>
      <c r="I18" s="43" t="s">
        <v>9</v>
      </c>
      <c r="J18" s="43" t="s">
        <v>65</v>
      </c>
      <c r="K18" s="43" t="s">
        <v>48</v>
      </c>
    </row>
    <row r="19" spans="1:11" s="2" customFormat="1" x14ac:dyDescent="0.3">
      <c r="A19" s="43" t="s">
        <v>116</v>
      </c>
      <c r="B19" s="44">
        <v>46037</v>
      </c>
      <c r="C19" s="45">
        <v>1</v>
      </c>
      <c r="D19" s="45">
        <v>0</v>
      </c>
      <c r="E19" s="43" t="s">
        <v>54</v>
      </c>
      <c r="F19" s="43" t="s">
        <v>200</v>
      </c>
      <c r="G19" s="43" t="s">
        <v>7</v>
      </c>
      <c r="H19" s="43" t="s">
        <v>47</v>
      </c>
      <c r="I19" s="43" t="s">
        <v>9</v>
      </c>
      <c r="J19" s="43" t="s">
        <v>117</v>
      </c>
      <c r="K19" s="43" t="s">
        <v>118</v>
      </c>
    </row>
    <row r="20" spans="1:11" s="2" customFormat="1" x14ac:dyDescent="0.3">
      <c r="A20" s="43" t="s">
        <v>119</v>
      </c>
      <c r="B20" s="44">
        <v>46013</v>
      </c>
      <c r="C20" s="45">
        <v>1</v>
      </c>
      <c r="D20" s="45">
        <v>0</v>
      </c>
      <c r="E20" s="43" t="s">
        <v>120</v>
      </c>
      <c r="F20" s="43" t="s">
        <v>98</v>
      </c>
      <c r="G20" s="43" t="s">
        <v>7</v>
      </c>
      <c r="H20" s="43" t="s">
        <v>18</v>
      </c>
      <c r="I20" s="43" t="s">
        <v>56</v>
      </c>
      <c r="J20" s="43" t="s">
        <v>121</v>
      </c>
      <c r="K20" s="43" t="s">
        <v>22</v>
      </c>
    </row>
    <row r="21" spans="1:11" s="2" customFormat="1" ht="15" customHeight="1" x14ac:dyDescent="0.3">
      <c r="A21" s="43" t="s">
        <v>122</v>
      </c>
      <c r="B21" s="44">
        <v>46031</v>
      </c>
      <c r="C21" s="45">
        <v>2</v>
      </c>
      <c r="D21" s="45">
        <v>0</v>
      </c>
      <c r="E21" s="43" t="s">
        <v>123</v>
      </c>
      <c r="F21" s="43" t="s">
        <v>98</v>
      </c>
      <c r="G21" s="43" t="s">
        <v>7</v>
      </c>
      <c r="H21" s="43" t="s">
        <v>23</v>
      </c>
      <c r="I21" s="43" t="s">
        <v>9</v>
      </c>
      <c r="J21" s="43" t="s">
        <v>121</v>
      </c>
      <c r="K21" s="43" t="s">
        <v>13</v>
      </c>
    </row>
    <row r="22" spans="1:11" s="2" customFormat="1" ht="13.95" customHeight="1" x14ac:dyDescent="0.3">
      <c r="A22" s="43" t="s">
        <v>125</v>
      </c>
      <c r="B22" s="44">
        <v>46006</v>
      </c>
      <c r="C22" s="45">
        <v>1</v>
      </c>
      <c r="D22" s="45">
        <v>0</v>
      </c>
      <c r="E22" s="43" t="s">
        <v>126</v>
      </c>
      <c r="F22" s="43" t="s">
        <v>98</v>
      </c>
      <c r="G22" s="43" t="s">
        <v>7</v>
      </c>
      <c r="H22" s="43" t="s">
        <v>18</v>
      </c>
      <c r="I22" s="43" t="s">
        <v>56</v>
      </c>
      <c r="J22" s="43" t="s">
        <v>127</v>
      </c>
      <c r="K22" s="43" t="s">
        <v>22</v>
      </c>
    </row>
    <row r="23" spans="1:11" s="2" customFormat="1" x14ac:dyDescent="0.3">
      <c r="A23" s="43" t="s">
        <v>128</v>
      </c>
      <c r="B23" s="44">
        <v>46035</v>
      </c>
      <c r="C23" s="45">
        <v>1</v>
      </c>
      <c r="D23" s="45">
        <v>0</v>
      </c>
      <c r="E23" s="43" t="s">
        <v>129</v>
      </c>
      <c r="F23" s="43" t="s">
        <v>200</v>
      </c>
      <c r="G23" s="43" t="s">
        <v>7</v>
      </c>
      <c r="H23" s="43" t="s">
        <v>64</v>
      </c>
      <c r="I23" s="43" t="s">
        <v>9</v>
      </c>
      <c r="J23" s="43" t="s">
        <v>65</v>
      </c>
      <c r="K23" s="43" t="s">
        <v>48</v>
      </c>
    </row>
    <row r="24" spans="1:11" s="2" customFormat="1" x14ac:dyDescent="0.3">
      <c r="A24" s="43" t="s">
        <v>130</v>
      </c>
      <c r="B24" s="44">
        <v>45995</v>
      </c>
      <c r="C24" s="45">
        <v>1</v>
      </c>
      <c r="D24" s="45">
        <v>0</v>
      </c>
      <c r="E24" s="43" t="s">
        <v>30</v>
      </c>
      <c r="F24" s="43" t="s">
        <v>200</v>
      </c>
      <c r="G24" s="43" t="s">
        <v>7</v>
      </c>
      <c r="H24" s="43" t="s">
        <v>8</v>
      </c>
      <c r="I24" s="43" t="s">
        <v>9</v>
      </c>
      <c r="J24" s="43" t="s">
        <v>12</v>
      </c>
      <c r="K24" s="43" t="s">
        <v>24</v>
      </c>
    </row>
    <row r="25" spans="1:11" s="2" customFormat="1" x14ac:dyDescent="0.3">
      <c r="A25" s="43" t="s">
        <v>135</v>
      </c>
      <c r="B25" s="44">
        <v>46020</v>
      </c>
      <c r="C25" s="45">
        <v>1</v>
      </c>
      <c r="D25" s="45">
        <v>0</v>
      </c>
      <c r="E25" s="43" t="s">
        <v>136</v>
      </c>
      <c r="F25" s="43" t="s">
        <v>200</v>
      </c>
      <c r="G25" s="43" t="s">
        <v>7</v>
      </c>
      <c r="H25" s="43" t="s">
        <v>23</v>
      </c>
      <c r="I25" s="43" t="s">
        <v>9</v>
      </c>
      <c r="J25" s="43" t="s">
        <v>137</v>
      </c>
      <c r="K25" s="43" t="s">
        <v>13</v>
      </c>
    </row>
    <row r="26" spans="1:11" s="2" customFormat="1" ht="15" hidden="1" customHeight="1" x14ac:dyDescent="0.3">
      <c r="A26" s="43" t="s">
        <v>138</v>
      </c>
      <c r="B26" s="44">
        <v>46006</v>
      </c>
      <c r="C26" s="45">
        <v>5</v>
      </c>
      <c r="D26" s="45">
        <v>0</v>
      </c>
      <c r="E26" s="43" t="s">
        <v>45</v>
      </c>
      <c r="F26" s="43" t="s">
        <v>189</v>
      </c>
      <c r="G26" s="43" t="s">
        <v>7</v>
      </c>
      <c r="H26" s="43" t="s">
        <v>139</v>
      </c>
      <c r="I26" s="43" t="s">
        <v>20</v>
      </c>
      <c r="J26" s="43" t="s">
        <v>140</v>
      </c>
      <c r="K26" s="43" t="s">
        <v>22</v>
      </c>
    </row>
    <row r="27" spans="1:11" s="2" customFormat="1" x14ac:dyDescent="0.3">
      <c r="A27" s="43" t="s">
        <v>141</v>
      </c>
      <c r="B27" s="44">
        <v>46006</v>
      </c>
      <c r="C27" s="45">
        <v>4</v>
      </c>
      <c r="D27" s="45">
        <v>0</v>
      </c>
      <c r="E27" s="43" t="s">
        <v>142</v>
      </c>
      <c r="F27" s="43" t="s">
        <v>200</v>
      </c>
      <c r="G27" s="43" t="s">
        <v>7</v>
      </c>
      <c r="H27" s="43" t="s">
        <v>139</v>
      </c>
      <c r="I27" s="43" t="s">
        <v>20</v>
      </c>
      <c r="J27" s="43" t="s">
        <v>140</v>
      </c>
      <c r="K27" s="43" t="s">
        <v>33</v>
      </c>
    </row>
    <row r="28" spans="1:11" s="2" customFormat="1" x14ac:dyDescent="0.3">
      <c r="A28" s="43" t="s">
        <v>143</v>
      </c>
      <c r="B28" s="44">
        <v>46014</v>
      </c>
      <c r="C28" s="45">
        <v>2</v>
      </c>
      <c r="D28" s="45">
        <v>1</v>
      </c>
      <c r="E28" s="43" t="s">
        <v>29</v>
      </c>
      <c r="F28" s="43" t="s">
        <v>200</v>
      </c>
      <c r="G28" s="43" t="s">
        <v>7</v>
      </c>
      <c r="H28" s="43" t="s">
        <v>18</v>
      </c>
      <c r="I28" s="43" t="s">
        <v>56</v>
      </c>
      <c r="J28" s="43" t="s">
        <v>140</v>
      </c>
      <c r="K28" s="43" t="s">
        <v>22</v>
      </c>
    </row>
    <row r="29" spans="1:11" s="2" customFormat="1" x14ac:dyDescent="0.3">
      <c r="A29" s="43" t="s">
        <v>146</v>
      </c>
      <c r="B29" s="44">
        <v>46013</v>
      </c>
      <c r="C29" s="45">
        <v>1</v>
      </c>
      <c r="D29" s="45">
        <v>0</v>
      </c>
      <c r="E29" s="43" t="s">
        <v>147</v>
      </c>
      <c r="F29" s="43" t="s">
        <v>98</v>
      </c>
      <c r="G29" s="43" t="s">
        <v>7</v>
      </c>
      <c r="H29" s="43" t="s">
        <v>148</v>
      </c>
      <c r="I29" s="43" t="s">
        <v>9</v>
      </c>
      <c r="J29" s="43" t="s">
        <v>149</v>
      </c>
      <c r="K29" s="43" t="s">
        <v>13</v>
      </c>
    </row>
    <row r="30" spans="1:11" s="2" customFormat="1" x14ac:dyDescent="0.3">
      <c r="A30" s="43" t="s">
        <v>150</v>
      </c>
      <c r="B30" s="44">
        <v>46013</v>
      </c>
      <c r="C30" s="45">
        <v>1</v>
      </c>
      <c r="D30" s="45">
        <v>0</v>
      </c>
      <c r="E30" s="43" t="s">
        <v>151</v>
      </c>
      <c r="F30" s="43" t="s">
        <v>98</v>
      </c>
      <c r="G30" s="43" t="s">
        <v>7</v>
      </c>
      <c r="H30" s="43" t="s">
        <v>148</v>
      </c>
      <c r="I30" s="43" t="s">
        <v>9</v>
      </c>
      <c r="J30" s="43" t="s">
        <v>149</v>
      </c>
      <c r="K30" s="43" t="s">
        <v>13</v>
      </c>
    </row>
    <row r="31" spans="1:11" s="2" customFormat="1" x14ac:dyDescent="0.3">
      <c r="A31" s="43" t="s">
        <v>152</v>
      </c>
      <c r="B31" s="44">
        <v>46006</v>
      </c>
      <c r="C31" s="45">
        <v>1</v>
      </c>
      <c r="D31" s="45">
        <v>0</v>
      </c>
      <c r="E31" s="43" t="s">
        <v>153</v>
      </c>
      <c r="F31" s="43" t="s">
        <v>200</v>
      </c>
      <c r="G31" s="43" t="s">
        <v>7</v>
      </c>
      <c r="H31" s="43" t="s">
        <v>33</v>
      </c>
      <c r="I31" s="43" t="s">
        <v>20</v>
      </c>
      <c r="J31" s="43" t="s">
        <v>77</v>
      </c>
      <c r="K31" s="43" t="s">
        <v>13</v>
      </c>
    </row>
    <row r="32" spans="1:11" s="2" customFormat="1" x14ac:dyDescent="0.3">
      <c r="A32" s="43" t="s">
        <v>154</v>
      </c>
      <c r="B32" s="44">
        <v>46015</v>
      </c>
      <c r="C32" s="45">
        <v>1</v>
      </c>
      <c r="D32" s="45">
        <v>0</v>
      </c>
      <c r="E32" s="43" t="s">
        <v>155</v>
      </c>
      <c r="F32" s="43" t="s">
        <v>98</v>
      </c>
      <c r="G32" s="43" t="s">
        <v>7</v>
      </c>
      <c r="H32" s="43" t="s">
        <v>47</v>
      </c>
      <c r="I32" s="43" t="s">
        <v>9</v>
      </c>
      <c r="J32" s="43" t="s">
        <v>156</v>
      </c>
      <c r="K32" s="43" t="s">
        <v>13</v>
      </c>
    </row>
    <row r="33" spans="1:19" s="2" customFormat="1" x14ac:dyDescent="0.3">
      <c r="A33" s="43" t="s">
        <v>157</v>
      </c>
      <c r="B33" s="44">
        <v>46020</v>
      </c>
      <c r="C33" s="45">
        <v>1</v>
      </c>
      <c r="D33" s="45">
        <v>0</v>
      </c>
      <c r="E33" s="43" t="s">
        <v>158</v>
      </c>
      <c r="F33" s="43" t="s">
        <v>98</v>
      </c>
      <c r="G33" s="43" t="s">
        <v>7</v>
      </c>
      <c r="H33" s="43" t="s">
        <v>17</v>
      </c>
      <c r="I33" s="43" t="s">
        <v>9</v>
      </c>
      <c r="J33" s="43" t="s">
        <v>159</v>
      </c>
      <c r="K33" s="43" t="s">
        <v>28</v>
      </c>
    </row>
    <row r="34" spans="1:19" s="2" customFormat="1" x14ac:dyDescent="0.3">
      <c r="A34" s="43" t="s">
        <v>160</v>
      </c>
      <c r="B34" s="44">
        <v>46020</v>
      </c>
      <c r="C34" s="45">
        <v>1</v>
      </c>
      <c r="D34" s="45">
        <v>0</v>
      </c>
      <c r="E34" s="43" t="s">
        <v>161</v>
      </c>
      <c r="F34" s="43" t="s">
        <v>200</v>
      </c>
      <c r="G34" s="43" t="s">
        <v>7</v>
      </c>
      <c r="H34" s="43" t="s">
        <v>18</v>
      </c>
      <c r="I34" s="43" t="s">
        <v>56</v>
      </c>
      <c r="J34" s="43" t="s">
        <v>137</v>
      </c>
      <c r="K34" s="43" t="s">
        <v>13</v>
      </c>
    </row>
    <row r="35" spans="1:19" s="2" customFormat="1" x14ac:dyDescent="0.3">
      <c r="A35" s="43" t="s">
        <v>162</v>
      </c>
      <c r="B35" s="44">
        <v>46019</v>
      </c>
      <c r="C35" s="45">
        <v>1</v>
      </c>
      <c r="D35" s="45">
        <v>0</v>
      </c>
      <c r="E35" s="43" t="s">
        <v>166</v>
      </c>
      <c r="F35" s="43" t="s">
        <v>98</v>
      </c>
      <c r="G35" s="43" t="s">
        <v>7</v>
      </c>
      <c r="H35" s="43" t="s">
        <v>33</v>
      </c>
      <c r="I35" s="43" t="s">
        <v>20</v>
      </c>
      <c r="J35" s="43" t="s">
        <v>166</v>
      </c>
      <c r="K35" s="43" t="s">
        <v>13</v>
      </c>
    </row>
    <row r="36" spans="1:19" s="2" customFormat="1" x14ac:dyDescent="0.3">
      <c r="A36" s="43" t="s">
        <v>172</v>
      </c>
      <c r="B36" s="44">
        <v>46037</v>
      </c>
      <c r="C36" s="45">
        <v>1</v>
      </c>
      <c r="D36" s="45">
        <v>0</v>
      </c>
      <c r="E36" s="43" t="s">
        <v>173</v>
      </c>
      <c r="F36" s="43" t="s">
        <v>98</v>
      </c>
      <c r="G36" s="43" t="s">
        <v>7</v>
      </c>
      <c r="H36" s="43" t="s">
        <v>33</v>
      </c>
      <c r="I36" s="43" t="s">
        <v>20</v>
      </c>
      <c r="J36" s="43" t="s">
        <v>175</v>
      </c>
      <c r="K36" s="43" t="s">
        <v>176</v>
      </c>
    </row>
    <row r="37" spans="1:19" s="2" customFormat="1" x14ac:dyDescent="0.3">
      <c r="A37" s="43" t="s">
        <v>163</v>
      </c>
      <c r="B37" s="44">
        <v>46030</v>
      </c>
      <c r="C37" s="45">
        <v>1</v>
      </c>
      <c r="D37" s="45">
        <v>0</v>
      </c>
      <c r="E37" s="43" t="s">
        <v>164</v>
      </c>
      <c r="F37" s="43" t="s">
        <v>98</v>
      </c>
      <c r="G37" s="43" t="s">
        <v>7</v>
      </c>
      <c r="H37" s="43" t="s">
        <v>17</v>
      </c>
      <c r="I37" s="43" t="s">
        <v>9</v>
      </c>
      <c r="J37" s="43" t="s">
        <v>165</v>
      </c>
      <c r="K37" s="43" t="s">
        <v>13</v>
      </c>
    </row>
    <row r="38" spans="1:19" s="2" customFormat="1" ht="14.25" customHeight="1" x14ac:dyDescent="0.3">
      <c r="A38" s="43" t="s">
        <v>178</v>
      </c>
      <c r="B38" s="44">
        <v>46031</v>
      </c>
      <c r="C38" s="45">
        <v>1</v>
      </c>
      <c r="D38" s="45">
        <v>0</v>
      </c>
      <c r="E38" s="43" t="s">
        <v>179</v>
      </c>
      <c r="F38" s="43" t="s">
        <v>200</v>
      </c>
      <c r="G38" s="43" t="s">
        <v>7</v>
      </c>
      <c r="H38" s="43" t="s">
        <v>18</v>
      </c>
      <c r="I38" s="43" t="s">
        <v>56</v>
      </c>
      <c r="J38" s="43" t="s">
        <v>180</v>
      </c>
      <c r="K38" s="43" t="s">
        <v>21</v>
      </c>
    </row>
    <row r="39" spans="1:19" s="2" customFormat="1" ht="14.25" customHeight="1" x14ac:dyDescent="0.3">
      <c r="A39" s="43" t="s">
        <v>184</v>
      </c>
      <c r="B39" s="44">
        <v>46038</v>
      </c>
      <c r="C39" s="45">
        <v>1</v>
      </c>
      <c r="D39" s="45">
        <v>0</v>
      </c>
      <c r="E39" s="43" t="s">
        <v>164</v>
      </c>
      <c r="F39" s="43" t="s">
        <v>98</v>
      </c>
      <c r="G39" s="43" t="s">
        <v>7</v>
      </c>
      <c r="H39" s="43" t="s">
        <v>212</v>
      </c>
      <c r="I39" s="43" t="s">
        <v>20</v>
      </c>
      <c r="J39" s="43" t="s">
        <v>186</v>
      </c>
      <c r="K39" s="43" t="s">
        <v>22</v>
      </c>
    </row>
    <row r="40" spans="1:19" s="2" customFormat="1" ht="13.95" customHeight="1" x14ac:dyDescent="0.3">
      <c r="A40" s="43" t="s">
        <v>188</v>
      </c>
      <c r="B40" s="44">
        <v>46036</v>
      </c>
      <c r="C40" s="45">
        <v>1</v>
      </c>
      <c r="D40" s="45">
        <v>0</v>
      </c>
      <c r="E40" s="43" t="s">
        <v>41</v>
      </c>
      <c r="F40" s="43" t="s">
        <v>98</v>
      </c>
      <c r="G40" s="43" t="s">
        <v>7</v>
      </c>
      <c r="H40" s="43" t="s">
        <v>18</v>
      </c>
      <c r="I40" s="43" t="s">
        <v>56</v>
      </c>
      <c r="J40" s="43" t="s">
        <v>82</v>
      </c>
      <c r="K40" s="43" t="s">
        <v>22</v>
      </c>
    </row>
    <row r="41" spans="1:19" s="2" customFormat="1" ht="13.95" customHeight="1" x14ac:dyDescent="0.3">
      <c r="A41" s="43" t="s">
        <v>192</v>
      </c>
      <c r="B41" s="44">
        <v>46036</v>
      </c>
      <c r="C41" s="45">
        <v>2</v>
      </c>
      <c r="D41" s="45">
        <v>0</v>
      </c>
      <c r="E41" s="43" t="s">
        <v>193</v>
      </c>
      <c r="F41" s="43" t="s">
        <v>200</v>
      </c>
      <c r="G41" s="43" t="s">
        <v>7</v>
      </c>
      <c r="H41" s="43" t="s">
        <v>18</v>
      </c>
      <c r="I41" s="43" t="s">
        <v>56</v>
      </c>
      <c r="J41" s="43" t="s">
        <v>95</v>
      </c>
      <c r="K41" s="43" t="s">
        <v>194</v>
      </c>
    </row>
    <row r="42" spans="1:19" s="2" customFormat="1" ht="13.95" customHeight="1" x14ac:dyDescent="0.3">
      <c r="A42" s="43" t="s">
        <v>197</v>
      </c>
      <c r="B42" s="44">
        <v>46036</v>
      </c>
      <c r="C42" s="45">
        <v>1</v>
      </c>
      <c r="D42" s="45">
        <v>0</v>
      </c>
      <c r="E42" s="43" t="s">
        <v>93</v>
      </c>
      <c r="F42" s="43" t="s">
        <v>200</v>
      </c>
      <c r="G42" s="43" t="s">
        <v>7</v>
      </c>
      <c r="H42" s="43" t="s">
        <v>33</v>
      </c>
      <c r="I42" s="43" t="s">
        <v>20</v>
      </c>
      <c r="J42" s="43" t="s">
        <v>140</v>
      </c>
      <c r="K42" s="43" t="s">
        <v>22</v>
      </c>
    </row>
    <row r="43" spans="1:19" s="2" customFormat="1" ht="13.95" customHeight="1" x14ac:dyDescent="0.3">
      <c r="A43" s="43" t="s">
        <v>202</v>
      </c>
      <c r="B43" s="44">
        <v>46037</v>
      </c>
      <c r="C43" s="45">
        <v>1</v>
      </c>
      <c r="D43" s="45">
        <v>0</v>
      </c>
      <c r="E43" s="43" t="s">
        <v>54</v>
      </c>
      <c r="F43" s="43" t="s">
        <v>98</v>
      </c>
      <c r="G43" s="43" t="s">
        <v>7</v>
      </c>
      <c r="H43" s="43" t="s">
        <v>17</v>
      </c>
      <c r="I43" s="43" t="s">
        <v>9</v>
      </c>
      <c r="J43" s="43" t="s">
        <v>203</v>
      </c>
      <c r="K43" s="43" t="s">
        <v>24</v>
      </c>
    </row>
    <row r="44" spans="1:19" s="2" customFormat="1" ht="14.25" customHeight="1" x14ac:dyDescent="0.3">
      <c r="A44" s="43" t="s">
        <v>207</v>
      </c>
      <c r="B44" s="44">
        <v>46037</v>
      </c>
      <c r="C44" s="45">
        <v>1</v>
      </c>
      <c r="D44" s="45">
        <v>0</v>
      </c>
      <c r="E44" s="43" t="s">
        <v>208</v>
      </c>
      <c r="F44" s="43" t="s">
        <v>98</v>
      </c>
      <c r="G44" s="43" t="s">
        <v>7</v>
      </c>
      <c r="H44" s="43" t="s">
        <v>110</v>
      </c>
      <c r="I44" s="43" t="s">
        <v>20</v>
      </c>
      <c r="J44" s="43" t="s">
        <v>117</v>
      </c>
      <c r="K44" s="43" t="s">
        <v>13</v>
      </c>
    </row>
    <row r="45" spans="1:19" s="2" customFormat="1" ht="14.25" customHeight="1" x14ac:dyDescent="0.3">
      <c r="A45" s="43" t="s">
        <v>211</v>
      </c>
      <c r="B45" s="44">
        <v>46038</v>
      </c>
      <c r="C45" s="45">
        <v>1</v>
      </c>
      <c r="D45" s="45">
        <v>0</v>
      </c>
      <c r="E45" s="43" t="s">
        <v>25</v>
      </c>
      <c r="F45" s="43" t="s">
        <v>200</v>
      </c>
      <c r="G45" s="43" t="s">
        <v>7</v>
      </c>
      <c r="H45" s="43" t="s">
        <v>18</v>
      </c>
      <c r="I45" s="43" t="s">
        <v>56</v>
      </c>
      <c r="J45" s="43" t="s">
        <v>105</v>
      </c>
      <c r="K45" s="43" t="s">
        <v>43</v>
      </c>
    </row>
    <row r="46" spans="1:19" ht="15" thickBot="1" x14ac:dyDescent="0.35">
      <c r="A46" s="40"/>
      <c r="B46" s="41"/>
      <c r="C46" s="42"/>
      <c r="D46" s="42"/>
      <c r="E46" s="40"/>
      <c r="F46" s="40"/>
      <c r="G46" s="40"/>
      <c r="H46" s="40"/>
      <c r="I46" s="40"/>
      <c r="J46" s="40"/>
      <c r="K46" s="40"/>
      <c r="P46" s="3"/>
      <c r="Q46" s="3"/>
      <c r="R46" s="4"/>
      <c r="S46" s="4"/>
    </row>
    <row r="47" spans="1:19" ht="15" thickBot="1" x14ac:dyDescent="0.35">
      <c r="B47" s="34" t="s">
        <v>31</v>
      </c>
      <c r="C47" s="12">
        <f>SUM(C4:C45)-SUM(D4:D45)</f>
        <v>62</v>
      </c>
      <c r="D47" s="29"/>
      <c r="F47" s="35" t="s">
        <v>57</v>
      </c>
      <c r="G47" s="36">
        <f>COUNTIF(I4:I42,"Pending")</f>
        <v>11</v>
      </c>
      <c r="I47" s="38" t="s">
        <v>58</v>
      </c>
      <c r="J47" s="39">
        <f>C47-G47</f>
        <v>51</v>
      </c>
    </row>
    <row r="48" spans="1:19" x14ac:dyDescent="0.3">
      <c r="G48" s="3"/>
      <c r="H48" s="4"/>
      <c r="I48" s="3"/>
    </row>
    <row r="49" spans="1:11" x14ac:dyDescent="0.3">
      <c r="D49" s="13"/>
    </row>
    <row r="50" spans="1:11" s="6" customFormat="1" ht="28.8" x14ac:dyDescent="0.3">
      <c r="A50" s="28" t="s">
        <v>0</v>
      </c>
      <c r="B50" s="28" t="s">
        <v>1</v>
      </c>
      <c r="C50" s="28" t="s">
        <v>2</v>
      </c>
      <c r="D50" s="28" t="s">
        <v>3</v>
      </c>
      <c r="E50" s="28" t="s">
        <v>4</v>
      </c>
      <c r="F50" s="28" t="s">
        <v>51</v>
      </c>
      <c r="G50" s="28" t="s">
        <v>52</v>
      </c>
      <c r="H50" s="28" t="s">
        <v>5</v>
      </c>
      <c r="I50" s="28" t="s">
        <v>53</v>
      </c>
      <c r="J50" s="28" t="s">
        <v>27</v>
      </c>
      <c r="K50" s="28" t="s">
        <v>6</v>
      </c>
    </row>
    <row r="51" spans="1:11" s="14" customFormat="1" x14ac:dyDescent="0.3">
      <c r="A51" s="43" t="s">
        <v>170</v>
      </c>
      <c r="B51" s="44">
        <v>46013</v>
      </c>
      <c r="C51" s="45">
        <v>1</v>
      </c>
      <c r="D51" s="45">
        <v>0</v>
      </c>
      <c r="E51" s="43" t="s">
        <v>171</v>
      </c>
      <c r="F51" s="46" t="s">
        <v>131</v>
      </c>
      <c r="G51" s="43" t="s">
        <v>32</v>
      </c>
      <c r="H51" s="43" t="s">
        <v>148</v>
      </c>
      <c r="I51" s="43" t="s">
        <v>20</v>
      </c>
      <c r="J51" s="43" t="s">
        <v>105</v>
      </c>
      <c r="K51" s="43" t="s">
        <v>19</v>
      </c>
    </row>
    <row r="52" spans="1:11" s="14" customFormat="1" hidden="1" x14ac:dyDescent="0.3">
      <c r="A52" s="7"/>
      <c r="B52" s="8"/>
      <c r="C52" s="9"/>
      <c r="D52" s="9"/>
      <c r="E52" s="7"/>
      <c r="F52" s="7"/>
      <c r="G52" s="7"/>
      <c r="H52" s="7"/>
      <c r="I52" s="7"/>
      <c r="J52" s="7"/>
      <c r="K52" s="7"/>
    </row>
    <row r="53" spans="1:11" s="14" customFormat="1" ht="15" hidden="1" customHeight="1" x14ac:dyDescent="0.3">
      <c r="A53" s="7"/>
      <c r="B53" s="8"/>
      <c r="C53" s="9"/>
      <c r="D53" s="9"/>
      <c r="E53" s="7"/>
      <c r="F53" s="7"/>
      <c r="G53" s="7"/>
      <c r="H53" s="7"/>
      <c r="I53" s="7"/>
      <c r="J53" s="7"/>
      <c r="K53" s="31"/>
    </row>
    <row r="54" spans="1:11" s="14" customFormat="1" ht="15" hidden="1" customHeight="1" x14ac:dyDescent="0.3">
      <c r="A54" s="15"/>
      <c r="B54" s="16"/>
      <c r="C54" s="17"/>
      <c r="D54" s="17"/>
      <c r="E54" s="15"/>
      <c r="F54" s="15"/>
      <c r="G54" s="15"/>
      <c r="H54" s="15"/>
      <c r="I54" s="15"/>
      <c r="J54" s="15"/>
      <c r="K54" s="31"/>
    </row>
    <row r="55" spans="1:11" s="18" customFormat="1" ht="15" hidden="1" customHeight="1" x14ac:dyDescent="0.3">
      <c r="A55" s="15"/>
      <c r="B55" s="16"/>
      <c r="C55" s="17"/>
      <c r="D55" s="17"/>
      <c r="E55" s="15"/>
      <c r="F55" s="15"/>
      <c r="G55" s="15"/>
      <c r="H55" s="15"/>
      <c r="I55" s="15"/>
      <c r="J55" s="15"/>
      <c r="K55" s="32"/>
    </row>
    <row r="56" spans="1:11" s="18" customFormat="1" ht="15" hidden="1" customHeight="1" x14ac:dyDescent="0.3">
      <c r="A56" s="19"/>
      <c r="B56" s="20"/>
      <c r="C56" s="21"/>
      <c r="D56" s="21"/>
      <c r="E56" s="19"/>
      <c r="F56" s="19"/>
      <c r="G56" s="19"/>
      <c r="H56" s="19"/>
      <c r="I56" s="19"/>
      <c r="J56" s="19"/>
      <c r="K56" s="32"/>
    </row>
    <row r="57" spans="1:11" s="18" customFormat="1" ht="15" hidden="1" customHeight="1" x14ac:dyDescent="0.3">
      <c r="A57" s="19"/>
      <c r="B57" s="20"/>
      <c r="C57" s="21"/>
      <c r="D57" s="21"/>
      <c r="E57" s="19"/>
      <c r="F57" s="19"/>
      <c r="G57" s="19"/>
      <c r="H57" s="19"/>
      <c r="I57" s="19"/>
      <c r="J57" s="19"/>
      <c r="K57" s="32"/>
    </row>
    <row r="58" spans="1:11" s="18" customFormat="1" ht="15" hidden="1" customHeight="1" x14ac:dyDescent="0.3">
      <c r="A58" s="19"/>
      <c r="B58" s="20"/>
      <c r="C58" s="21"/>
      <c r="D58" s="21"/>
      <c r="E58" s="19"/>
      <c r="F58" s="19"/>
      <c r="G58" s="19"/>
      <c r="H58" s="19"/>
      <c r="I58" s="19"/>
      <c r="J58" s="19"/>
      <c r="K58" s="32"/>
    </row>
    <row r="59" spans="1:11" s="18" customFormat="1" ht="15" hidden="1" customHeight="1" x14ac:dyDescent="0.3">
      <c r="A59" s="47"/>
      <c r="B59" s="48"/>
      <c r="C59" s="49"/>
      <c r="D59" s="49"/>
      <c r="E59" s="47"/>
      <c r="F59" s="47"/>
      <c r="G59" s="47"/>
      <c r="H59" s="47"/>
      <c r="I59" s="47"/>
      <c r="J59" s="47"/>
      <c r="K59" s="50"/>
    </row>
    <row r="60" spans="1:11" x14ac:dyDescent="0.3">
      <c r="A60" s="51"/>
      <c r="B60" s="52"/>
      <c r="C60" s="53"/>
      <c r="D60" s="53"/>
      <c r="E60" s="51"/>
      <c r="F60" s="51"/>
      <c r="G60" s="51"/>
      <c r="H60" s="51"/>
      <c r="I60" s="51"/>
      <c r="J60" s="51"/>
      <c r="K60" s="2"/>
    </row>
    <row r="61" spans="1:11" ht="15" thickBot="1" x14ac:dyDescent="0.35">
      <c r="B61" s="33" t="s">
        <v>34</v>
      </c>
      <c r="C61" s="30">
        <f>SUM(C51:C52)-SUM(D51:D52)</f>
        <v>1</v>
      </c>
      <c r="E61" s="2"/>
      <c r="F61" s="2"/>
      <c r="H61" s="2"/>
      <c r="J61" s="2"/>
      <c r="K61" s="2"/>
    </row>
    <row r="62" spans="1:11" x14ac:dyDescent="0.3">
      <c r="E62" s="2"/>
      <c r="F62" s="2"/>
      <c r="H62" s="2"/>
      <c r="J62" s="2"/>
      <c r="K62" s="2"/>
    </row>
    <row r="63" spans="1:11" x14ac:dyDescent="0.3">
      <c r="E63" s="2"/>
      <c r="F63" s="2"/>
      <c r="H63" s="2"/>
      <c r="J63" s="2"/>
      <c r="K63" s="2"/>
    </row>
    <row r="64" spans="1:11" s="2" customFormat="1" ht="34.35" customHeight="1" x14ac:dyDescent="0.3">
      <c r="A64" s="28" t="s">
        <v>0</v>
      </c>
      <c r="B64" s="28" t="s">
        <v>1</v>
      </c>
      <c r="C64" s="28" t="s">
        <v>2</v>
      </c>
      <c r="D64" s="28" t="s">
        <v>3</v>
      </c>
      <c r="E64" s="28" t="s">
        <v>4</v>
      </c>
      <c r="F64" s="28" t="s">
        <v>51</v>
      </c>
      <c r="G64" s="28" t="s">
        <v>52</v>
      </c>
      <c r="H64" s="28" t="s">
        <v>5</v>
      </c>
      <c r="I64" s="28" t="s">
        <v>53</v>
      </c>
      <c r="J64" s="28" t="s">
        <v>27</v>
      </c>
      <c r="K64" s="28" t="s">
        <v>6</v>
      </c>
    </row>
    <row r="65" spans="1:29" x14ac:dyDescent="0.3">
      <c r="A65" s="43" t="s">
        <v>198</v>
      </c>
      <c r="B65" s="44">
        <v>46031</v>
      </c>
      <c r="C65" s="45">
        <v>1</v>
      </c>
      <c r="D65" s="45">
        <v>0</v>
      </c>
      <c r="E65" s="43" t="s">
        <v>199</v>
      </c>
      <c r="F65" s="43" t="s">
        <v>200</v>
      </c>
      <c r="G65" s="43" t="s">
        <v>55</v>
      </c>
      <c r="H65" s="43" t="s">
        <v>33</v>
      </c>
      <c r="I65" s="43" t="s">
        <v>20</v>
      </c>
      <c r="J65" s="43" t="s">
        <v>12</v>
      </c>
      <c r="K65" s="43" t="s">
        <v>24</v>
      </c>
    </row>
    <row r="66" spans="1:29" x14ac:dyDescent="0.3">
      <c r="A66" s="43" t="s">
        <v>204</v>
      </c>
      <c r="B66" s="44">
        <v>46035</v>
      </c>
      <c r="C66" s="45">
        <v>1</v>
      </c>
      <c r="D66" s="45">
        <v>0</v>
      </c>
      <c r="E66" s="43" t="s">
        <v>205</v>
      </c>
      <c r="F66" s="43" t="s">
        <v>98</v>
      </c>
      <c r="G66" s="43" t="s">
        <v>55</v>
      </c>
      <c r="H66" s="43" t="s">
        <v>183</v>
      </c>
      <c r="I66" s="43" t="s">
        <v>20</v>
      </c>
      <c r="J66" s="43" t="s">
        <v>206</v>
      </c>
      <c r="K66" s="43" t="s">
        <v>13</v>
      </c>
    </row>
    <row r="67" spans="1:29" x14ac:dyDescent="0.3">
      <c r="A67" s="43" t="s">
        <v>209</v>
      </c>
      <c r="B67" s="44">
        <v>46035</v>
      </c>
      <c r="C67" s="45">
        <v>1</v>
      </c>
      <c r="D67" s="45">
        <v>0</v>
      </c>
      <c r="E67" s="43" t="s">
        <v>210</v>
      </c>
      <c r="F67" s="43" t="s">
        <v>98</v>
      </c>
      <c r="G67" s="43" t="s">
        <v>55</v>
      </c>
      <c r="H67" s="43" t="s">
        <v>183</v>
      </c>
      <c r="I67" s="43" t="s">
        <v>20</v>
      </c>
      <c r="J67" s="43" t="s">
        <v>206</v>
      </c>
      <c r="K67" s="43" t="s">
        <v>13</v>
      </c>
    </row>
    <row r="68" spans="1:29" x14ac:dyDescent="0.3">
      <c r="A68" s="43" t="s">
        <v>213</v>
      </c>
      <c r="B68" s="44">
        <v>46037</v>
      </c>
      <c r="C68" s="45">
        <v>2</v>
      </c>
      <c r="D68" s="45">
        <v>0</v>
      </c>
      <c r="E68" s="43" t="s">
        <v>214</v>
      </c>
      <c r="F68" s="43" t="s">
        <v>200</v>
      </c>
      <c r="G68" s="43" t="s">
        <v>55</v>
      </c>
      <c r="H68" s="43" t="s">
        <v>33</v>
      </c>
      <c r="I68" s="43" t="s">
        <v>20</v>
      </c>
      <c r="J68" s="43" t="s">
        <v>215</v>
      </c>
      <c r="K68" s="43" t="s">
        <v>216</v>
      </c>
    </row>
    <row r="69" spans="1:29" x14ac:dyDescent="0.3">
      <c r="A69" s="43" t="s">
        <v>217</v>
      </c>
      <c r="B69" s="44">
        <v>46037</v>
      </c>
      <c r="C69" s="45">
        <v>1</v>
      </c>
      <c r="D69" s="45">
        <v>0</v>
      </c>
      <c r="E69" s="43" t="s">
        <v>218</v>
      </c>
      <c r="F69" s="43" t="s">
        <v>200</v>
      </c>
      <c r="G69" s="43" t="s">
        <v>55</v>
      </c>
      <c r="H69" s="43" t="s">
        <v>148</v>
      </c>
      <c r="I69" s="43" t="s">
        <v>20</v>
      </c>
      <c r="J69" s="43" t="s">
        <v>121</v>
      </c>
      <c r="K69" s="43" t="s">
        <v>13</v>
      </c>
    </row>
    <row r="70" spans="1:29" hidden="1" x14ac:dyDescent="0.3">
      <c r="A70" s="43"/>
      <c r="B70" s="44"/>
      <c r="C70" s="45"/>
      <c r="D70" s="45"/>
      <c r="E70" s="43"/>
      <c r="F70" s="43"/>
      <c r="G70" s="43"/>
      <c r="H70" s="43"/>
      <c r="I70" s="43"/>
      <c r="J70" s="43"/>
      <c r="K70" s="43"/>
    </row>
    <row r="71" spans="1:29" s="2" customFormat="1" hidden="1" x14ac:dyDescent="0.3">
      <c r="A71" s="43"/>
      <c r="B71" s="44"/>
      <c r="C71" s="45"/>
      <c r="D71" s="45"/>
      <c r="E71" s="43"/>
      <c r="F71" s="43"/>
      <c r="G71" s="43"/>
      <c r="H71" s="43"/>
      <c r="I71" s="43"/>
      <c r="J71" s="43"/>
      <c r="K71" s="43"/>
      <c r="L71" s="4"/>
      <c r="M71" s="4"/>
      <c r="N71" s="4"/>
      <c r="O71" s="4"/>
      <c r="P71" s="4"/>
      <c r="Q71" s="4"/>
      <c r="R71" s="3"/>
      <c r="S71" s="3"/>
      <c r="T71" s="4"/>
      <c r="U71" s="4"/>
      <c r="V71" s="4"/>
      <c r="W71" s="4"/>
      <c r="X71" s="4"/>
      <c r="Y71" s="4"/>
      <c r="Z71" s="4"/>
      <c r="AA71" s="4"/>
      <c r="AB71" s="4"/>
      <c r="AC71" s="4"/>
    </row>
    <row r="72" spans="1:29" s="2" customFormat="1" hidden="1" x14ac:dyDescent="0.3">
      <c r="A72" s="43"/>
      <c r="B72" s="44"/>
      <c r="C72" s="45"/>
      <c r="D72" s="45"/>
      <c r="E72" s="43"/>
      <c r="F72" s="43"/>
      <c r="G72" s="43"/>
      <c r="H72" s="43"/>
      <c r="I72" s="43"/>
      <c r="J72" s="43"/>
      <c r="K72" s="43"/>
      <c r="L72" s="4"/>
      <c r="M72" s="4"/>
      <c r="N72" s="4"/>
      <c r="O72" s="4"/>
      <c r="P72" s="4"/>
      <c r="Q72" s="4"/>
      <c r="R72" s="3"/>
      <c r="S72" s="3"/>
      <c r="T72" s="4"/>
      <c r="U72" s="4"/>
      <c r="V72" s="4"/>
      <c r="W72" s="4"/>
      <c r="X72" s="4"/>
      <c r="Y72" s="4"/>
      <c r="Z72" s="4"/>
      <c r="AA72" s="4"/>
      <c r="AB72" s="4"/>
      <c r="AC72" s="4"/>
    </row>
    <row r="73" spans="1:29" s="2" customFormat="1" hidden="1" x14ac:dyDescent="0.3">
      <c r="A73" s="43"/>
      <c r="B73" s="44"/>
      <c r="C73" s="45"/>
      <c r="D73" s="45"/>
      <c r="E73" s="43"/>
      <c r="F73" s="43"/>
      <c r="G73" s="43"/>
      <c r="H73" s="43"/>
      <c r="I73" s="43"/>
      <c r="J73" s="43"/>
      <c r="K73" s="43"/>
      <c r="L73" s="4"/>
      <c r="M73" s="4"/>
      <c r="N73" s="4"/>
      <c r="O73" s="4"/>
      <c r="P73" s="4"/>
      <c r="Q73" s="4"/>
      <c r="R73" s="3"/>
      <c r="S73" s="3"/>
      <c r="T73" s="4"/>
      <c r="U73" s="4"/>
      <c r="V73" s="4"/>
      <c r="W73" s="4"/>
      <c r="X73" s="4"/>
      <c r="Y73" s="4"/>
      <c r="Z73" s="4"/>
      <c r="AA73" s="4"/>
      <c r="AB73" s="4"/>
      <c r="AC73" s="4"/>
    </row>
    <row r="74" spans="1:29" s="2" customFormat="1" ht="15" hidden="1" thickBot="1" x14ac:dyDescent="0.35">
      <c r="E74" s="3"/>
      <c r="F74" s="3"/>
      <c r="G74" s="5"/>
      <c r="H74" s="18"/>
      <c r="J74" s="3"/>
      <c r="K74" s="3"/>
      <c r="L74" s="4"/>
      <c r="M74" s="4"/>
      <c r="N74" s="4"/>
      <c r="O74" s="4"/>
      <c r="P74" s="4"/>
      <c r="Q74" s="4"/>
      <c r="R74" s="3"/>
      <c r="S74" s="3"/>
      <c r="T74" s="4"/>
      <c r="U74" s="4"/>
      <c r="V74" s="4"/>
      <c r="W74" s="4"/>
      <c r="X74" s="4"/>
      <c r="Y74" s="4"/>
      <c r="Z74" s="4"/>
      <c r="AA74" s="4"/>
      <c r="AB74" s="4"/>
      <c r="AC74" s="4"/>
    </row>
    <row r="75" spans="1:29" s="2" customFormat="1" ht="15" thickBot="1" x14ac:dyDescent="0.35">
      <c r="E75" s="3"/>
      <c r="F75" s="3"/>
      <c r="G75" s="5"/>
      <c r="H75" s="18"/>
      <c r="J75" s="3"/>
      <c r="K75" s="3"/>
      <c r="L75" s="4"/>
      <c r="M75" s="4"/>
      <c r="N75" s="4"/>
      <c r="O75" s="4"/>
      <c r="P75" s="4"/>
      <c r="Q75" s="4"/>
      <c r="R75" s="3"/>
      <c r="S75" s="3"/>
      <c r="T75" s="4"/>
      <c r="U75" s="4"/>
      <c r="V75" s="4"/>
      <c r="W75" s="4"/>
      <c r="X75" s="4"/>
      <c r="Y75" s="4"/>
      <c r="Z75" s="4"/>
      <c r="AA75" s="4"/>
      <c r="AB75" s="4"/>
      <c r="AC75" s="4"/>
    </row>
    <row r="76" spans="1:29" s="2" customFormat="1" ht="15" thickBot="1" x14ac:dyDescent="0.35">
      <c r="B76" s="38" t="s">
        <v>35</v>
      </c>
      <c r="C76" s="22">
        <f>SUM(C65:C73)-SUM(D65:D73)</f>
        <v>6</v>
      </c>
      <c r="E76" s="3"/>
      <c r="F76" s="3"/>
      <c r="G76" s="5"/>
      <c r="H76" s="18"/>
      <c r="J76" s="3"/>
      <c r="K76" s="3"/>
      <c r="L76" s="4"/>
      <c r="M76" s="4"/>
      <c r="N76" s="4"/>
      <c r="O76" s="4"/>
      <c r="P76" s="4"/>
      <c r="Q76" s="4"/>
      <c r="R76" s="3"/>
      <c r="S76" s="3"/>
      <c r="T76" s="4"/>
      <c r="U76" s="4"/>
      <c r="V76" s="4"/>
      <c r="W76" s="4"/>
      <c r="X76" s="4"/>
      <c r="Y76" s="4"/>
      <c r="Z76" s="4"/>
      <c r="AA76" s="4"/>
      <c r="AB76" s="4"/>
      <c r="AC76" s="4"/>
    </row>
  </sheetData>
  <autoFilter ref="A3:J39" xr:uid="{6E392464-0CD5-4B6C-9B5A-A4EF4B03C567}"/>
  <conditionalFormatting sqref="F1:F45">
    <cfRule type="cellIs" dxfId="277" priority="9" operator="equal">
      <formula>"Non-Billable"</formula>
    </cfRule>
    <cfRule type="cellIs" dxfId="276" priority="10" operator="equal">
      <formula>"Billable"</formula>
    </cfRule>
  </conditionalFormatting>
  <conditionalFormatting sqref="F46">
    <cfRule type="cellIs" dxfId="275" priority="18" operator="equal">
      <formula>"Not Accepting Application"</formula>
    </cfRule>
    <cfRule type="cellIs" dxfId="274" priority="19" operator="equal">
      <formula>"Y"</formula>
    </cfRule>
  </conditionalFormatting>
  <conditionalFormatting sqref="F48:F1048576">
    <cfRule type="cellIs" dxfId="273" priority="1" operator="equal">
      <formula>"Non-Billable"</formula>
    </cfRule>
    <cfRule type="cellIs" dxfId="272" priority="2" operator="equal">
      <formula>"Billable"</formula>
    </cfRule>
  </conditionalFormatting>
  <conditionalFormatting sqref="H1:H2 H4:H45 F46 H47:H49 H51:H63 H65:H1048576">
    <cfRule type="cellIs" dxfId="271" priority="16" operator="equal">
      <formula>"Not accpeting applications"</formula>
    </cfRule>
  </conditionalFormatting>
  <conditionalFormatting sqref="H1:H2 H4:H45 H47:H49 H51:H63 H65:H1048576">
    <cfRule type="cellIs" dxfId="270" priority="14" operator="equal">
      <formula>"Not Accepting Applications"</formula>
    </cfRule>
  </conditionalFormatting>
  <conditionalFormatting sqref="H4:H45">
    <cfRule type="cellIs" dxfId="269" priority="17" operator="equal">
      <formula>"Accepting Applications"</formula>
    </cfRule>
  </conditionalFormatting>
  <conditionalFormatting sqref="H51:H53">
    <cfRule type="cellIs" dxfId="268" priority="15" operator="equal">
      <formula>"Not accepting applications"</formula>
    </cfRule>
  </conditionalFormatting>
  <conditionalFormatting sqref="H55:H59">
    <cfRule type="cellIs" dxfId="267" priority="21" operator="equal">
      <formula>"Not Accepting Application"</formula>
    </cfRule>
    <cfRule type="cellIs" dxfId="266" priority="22" operator="equal">
      <formula>"Accepting Applications"</formula>
    </cfRule>
    <cfRule type="cellIs" dxfId="265" priority="23" operator="equal">
      <formula>"Y"</formula>
    </cfRule>
  </conditionalFormatting>
  <conditionalFormatting sqref="I1:I45 F46:G46 I48:I1048576">
    <cfRule type="cellIs" dxfId="264" priority="12" operator="equal">
      <formula>"Accepting Applications"</formula>
    </cfRule>
    <cfRule type="cellIs" dxfId="263" priority="13" operator="equal">
      <formula>"Not Accepting Applications"</formula>
    </cfRule>
  </conditionalFormatting>
  <conditionalFormatting sqref="I1:I45 G46 I48:I1048576">
    <cfRule type="cellIs" dxfId="262" priority="11" operator="equal">
      <formula>"Pending"</formula>
    </cfRule>
  </conditionalFormatting>
  <conditionalFormatting sqref="AG65:AG77">
    <cfRule type="cellIs" dxfId="261" priority="20" operator="equal">
      <formula>"Not Accepting Applications"</formula>
    </cfRule>
  </conditionalFormatting>
  <pageMargins left="0.7" right="0.7" top="0.75" bottom="0.75" header="0.3" footer="0.3"/>
  <pageSetup orientation="landscape" horizontalDpi="4294967295" verticalDpi="4294967295"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209E0-353F-46B6-ABA6-452DDF4C5B5F}">
  <sheetPr>
    <tabColor theme="2" tint="-9.9978637043366805E-2"/>
  </sheetPr>
  <dimension ref="A1:AC77"/>
  <sheetViews>
    <sheetView showGridLines="0" zoomScale="81" zoomScaleNormal="100" workbookViewId="0">
      <selection activeCell="H80" sqref="H80"/>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0.52500000000000002</v>
      </c>
      <c r="B1" s="37">
        <v>46037</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43" t="s">
        <v>59</v>
      </c>
      <c r="B4" s="44">
        <v>45937</v>
      </c>
      <c r="C4" s="45">
        <v>5</v>
      </c>
      <c r="D4" s="45">
        <v>1</v>
      </c>
      <c r="E4" s="43" t="s">
        <v>46</v>
      </c>
      <c r="F4" s="46" t="s">
        <v>131</v>
      </c>
      <c r="G4" s="43" t="s">
        <v>7</v>
      </c>
      <c r="H4" s="43" t="s">
        <v>23</v>
      </c>
      <c r="I4" s="43" t="s">
        <v>9</v>
      </c>
      <c r="J4" s="43" t="s">
        <v>49</v>
      </c>
      <c r="K4" s="43" t="s">
        <v>48</v>
      </c>
      <c r="AB4" s="2" t="s">
        <v>10</v>
      </c>
      <c r="AC4" s="2" t="s">
        <v>11</v>
      </c>
    </row>
    <row r="5" spans="1:29" s="2" customFormat="1" x14ac:dyDescent="0.3">
      <c r="A5" s="43" t="s">
        <v>62</v>
      </c>
      <c r="B5" s="44">
        <v>45919</v>
      </c>
      <c r="C5" s="45">
        <v>5</v>
      </c>
      <c r="D5" s="45">
        <v>4</v>
      </c>
      <c r="E5" s="43" t="s">
        <v>63</v>
      </c>
      <c r="F5" s="46" t="s">
        <v>131</v>
      </c>
      <c r="G5" s="43" t="s">
        <v>7</v>
      </c>
      <c r="H5" s="43" t="s">
        <v>64</v>
      </c>
      <c r="I5" s="43" t="s">
        <v>9</v>
      </c>
      <c r="J5" s="43" t="s">
        <v>65</v>
      </c>
      <c r="K5" s="43" t="s">
        <v>48</v>
      </c>
      <c r="AB5" s="2" t="s">
        <v>14</v>
      </c>
      <c r="AC5" s="2">
        <v>17</v>
      </c>
    </row>
    <row r="6" spans="1:29" s="2" customFormat="1" x14ac:dyDescent="0.3">
      <c r="A6" s="43" t="s">
        <v>69</v>
      </c>
      <c r="B6" s="44">
        <v>45957</v>
      </c>
      <c r="C6" s="45">
        <v>1</v>
      </c>
      <c r="D6" s="45">
        <v>0</v>
      </c>
      <c r="E6" s="43" t="s">
        <v>40</v>
      </c>
      <c r="F6" s="43" t="s">
        <v>98</v>
      </c>
      <c r="G6" s="43" t="s">
        <v>7</v>
      </c>
      <c r="H6" s="43" t="s">
        <v>17</v>
      </c>
      <c r="I6" s="43" t="s">
        <v>9</v>
      </c>
      <c r="J6" s="43" t="s">
        <v>70</v>
      </c>
      <c r="K6" s="43" t="s">
        <v>48</v>
      </c>
      <c r="N6" s="10"/>
      <c r="AB6" s="2" t="s">
        <v>15</v>
      </c>
      <c r="AC6" s="2">
        <v>3</v>
      </c>
    </row>
    <row r="7" spans="1:29" s="2" customFormat="1" x14ac:dyDescent="0.3">
      <c r="A7" s="43" t="s">
        <v>74</v>
      </c>
      <c r="B7" s="44">
        <v>46030</v>
      </c>
      <c r="C7" s="45">
        <v>1</v>
      </c>
      <c r="D7" s="45">
        <v>0</v>
      </c>
      <c r="E7" s="43" t="s">
        <v>75</v>
      </c>
      <c r="F7" s="43" t="s">
        <v>98</v>
      </c>
      <c r="G7" s="43" t="s">
        <v>7</v>
      </c>
      <c r="H7" s="43" t="s">
        <v>76</v>
      </c>
      <c r="I7" s="43" t="s">
        <v>20</v>
      </c>
      <c r="J7" s="43" t="s">
        <v>77</v>
      </c>
      <c r="K7" s="43" t="s">
        <v>13</v>
      </c>
      <c r="N7" s="10"/>
      <c r="V7" s="11"/>
      <c r="AB7" s="2" t="s">
        <v>16</v>
      </c>
      <c r="AC7" s="2">
        <v>4</v>
      </c>
    </row>
    <row r="8" spans="1:29" s="2" customFormat="1" x14ac:dyDescent="0.3">
      <c r="A8" s="43" t="s">
        <v>78</v>
      </c>
      <c r="B8" s="44">
        <v>45938</v>
      </c>
      <c r="C8" s="45">
        <v>3</v>
      </c>
      <c r="D8" s="45">
        <v>2</v>
      </c>
      <c r="E8" s="43" t="s">
        <v>46</v>
      </c>
      <c r="F8" s="46" t="s">
        <v>131</v>
      </c>
      <c r="G8" s="43" t="s">
        <v>7</v>
      </c>
      <c r="H8" s="43" t="s">
        <v>79</v>
      </c>
      <c r="I8" s="43" t="s">
        <v>20</v>
      </c>
      <c r="J8" s="43" t="s">
        <v>80</v>
      </c>
      <c r="K8" s="43" t="s">
        <v>13</v>
      </c>
      <c r="N8" s="10"/>
    </row>
    <row r="9" spans="1:29" s="2" customFormat="1" x14ac:dyDescent="0.3">
      <c r="A9" s="43" t="s">
        <v>167</v>
      </c>
      <c r="B9" s="44">
        <v>46036</v>
      </c>
      <c r="C9" s="45">
        <v>1</v>
      </c>
      <c r="D9" s="45">
        <v>0</v>
      </c>
      <c r="E9" s="43" t="s">
        <v>201</v>
      </c>
      <c r="F9" s="46" t="s">
        <v>131</v>
      </c>
      <c r="G9" s="43" t="s">
        <v>7</v>
      </c>
      <c r="H9" s="43" t="s">
        <v>148</v>
      </c>
      <c r="I9" s="43" t="s">
        <v>20</v>
      </c>
      <c r="J9" s="43" t="s">
        <v>105</v>
      </c>
      <c r="K9" s="43" t="s">
        <v>43</v>
      </c>
      <c r="N9" s="10"/>
    </row>
    <row r="10" spans="1:29" s="2" customFormat="1" x14ac:dyDescent="0.3">
      <c r="A10" s="43" t="s">
        <v>81</v>
      </c>
      <c r="B10" s="44">
        <v>46034</v>
      </c>
      <c r="C10" s="45">
        <v>2</v>
      </c>
      <c r="D10" s="45">
        <v>0</v>
      </c>
      <c r="E10" s="43" t="s">
        <v>41</v>
      </c>
      <c r="F10" s="43" t="s">
        <v>98</v>
      </c>
      <c r="G10" s="43" t="s">
        <v>7</v>
      </c>
      <c r="H10" s="43" t="s">
        <v>18</v>
      </c>
      <c r="I10" s="43" t="s">
        <v>56</v>
      </c>
      <c r="J10" s="43" t="s">
        <v>82</v>
      </c>
      <c r="K10" s="43" t="s">
        <v>22</v>
      </c>
      <c r="N10" s="10"/>
    </row>
    <row r="11" spans="1:29" s="2" customFormat="1" x14ac:dyDescent="0.3">
      <c r="A11" s="43" t="s">
        <v>85</v>
      </c>
      <c r="B11" s="44">
        <v>45971</v>
      </c>
      <c r="C11" s="45">
        <v>1</v>
      </c>
      <c r="D11" s="45">
        <v>0</v>
      </c>
      <c r="E11" s="43" t="s">
        <v>86</v>
      </c>
      <c r="F11" s="43" t="s">
        <v>98</v>
      </c>
      <c r="G11" s="43" t="s">
        <v>7</v>
      </c>
      <c r="H11" s="43" t="s">
        <v>23</v>
      </c>
      <c r="I11" s="43" t="s">
        <v>20</v>
      </c>
      <c r="J11" s="43" t="s">
        <v>42</v>
      </c>
      <c r="K11" s="43" t="s">
        <v>13</v>
      </c>
    </row>
    <row r="12" spans="1:29" s="2" customFormat="1" x14ac:dyDescent="0.3">
      <c r="A12" s="43" t="s">
        <v>89</v>
      </c>
      <c r="B12" s="44">
        <v>45982</v>
      </c>
      <c r="C12" s="45">
        <v>1</v>
      </c>
      <c r="D12" s="45">
        <v>0</v>
      </c>
      <c r="E12" s="43" t="s">
        <v>90</v>
      </c>
      <c r="F12" s="43" t="s">
        <v>98</v>
      </c>
      <c r="G12" s="43" t="s">
        <v>7</v>
      </c>
      <c r="H12" s="43" t="s">
        <v>64</v>
      </c>
      <c r="I12" s="43" t="s">
        <v>9</v>
      </c>
      <c r="J12" s="43" t="s">
        <v>26</v>
      </c>
      <c r="K12" s="43" t="s">
        <v>91</v>
      </c>
    </row>
    <row r="13" spans="1:29" s="2" customFormat="1" x14ac:dyDescent="0.3">
      <c r="A13" s="43" t="s">
        <v>92</v>
      </c>
      <c r="B13" s="44">
        <v>45971</v>
      </c>
      <c r="C13" s="45">
        <v>1</v>
      </c>
      <c r="D13" s="45">
        <v>0</v>
      </c>
      <c r="E13" s="43" t="s">
        <v>93</v>
      </c>
      <c r="F13" s="43" t="s">
        <v>98</v>
      </c>
      <c r="G13" s="43" t="s">
        <v>7</v>
      </c>
      <c r="H13" s="43" t="s">
        <v>94</v>
      </c>
      <c r="I13" s="43" t="s">
        <v>9</v>
      </c>
      <c r="J13" s="43" t="s">
        <v>95</v>
      </c>
      <c r="K13" s="43" t="s">
        <v>91</v>
      </c>
    </row>
    <row r="14" spans="1:29" s="2" customFormat="1" x14ac:dyDescent="0.3">
      <c r="A14" s="43" t="s">
        <v>96</v>
      </c>
      <c r="B14" s="44">
        <v>45974</v>
      </c>
      <c r="C14" s="45">
        <v>1</v>
      </c>
      <c r="D14" s="45">
        <v>0</v>
      </c>
      <c r="E14" s="43" t="s">
        <v>97</v>
      </c>
      <c r="F14" s="43" t="s">
        <v>98</v>
      </c>
      <c r="G14" s="43" t="s">
        <v>7</v>
      </c>
      <c r="H14" s="43" t="s">
        <v>23</v>
      </c>
      <c r="I14" s="43" t="s">
        <v>9</v>
      </c>
      <c r="J14" s="43" t="s">
        <v>95</v>
      </c>
      <c r="K14" s="43" t="s">
        <v>13</v>
      </c>
    </row>
    <row r="15" spans="1:29" s="2" customFormat="1" x14ac:dyDescent="0.3">
      <c r="A15" s="43" t="s">
        <v>99</v>
      </c>
      <c r="B15" s="44">
        <v>45972</v>
      </c>
      <c r="C15" s="45">
        <v>1</v>
      </c>
      <c r="D15" s="45">
        <v>0</v>
      </c>
      <c r="E15" s="43" t="s">
        <v>166</v>
      </c>
      <c r="F15" s="43" t="s">
        <v>98</v>
      </c>
      <c r="G15" s="43" t="s">
        <v>7</v>
      </c>
      <c r="H15" s="43" t="s">
        <v>44</v>
      </c>
      <c r="I15" s="43" t="s">
        <v>20</v>
      </c>
      <c r="J15" s="43" t="s">
        <v>166</v>
      </c>
      <c r="K15" s="43" t="s">
        <v>13</v>
      </c>
    </row>
    <row r="16" spans="1:29" s="2" customFormat="1" x14ac:dyDescent="0.3">
      <c r="A16" s="43" t="s">
        <v>106</v>
      </c>
      <c r="B16" s="44">
        <v>46030</v>
      </c>
      <c r="C16" s="45">
        <v>1</v>
      </c>
      <c r="D16" s="45">
        <v>0</v>
      </c>
      <c r="E16" s="43" t="s">
        <v>107</v>
      </c>
      <c r="F16" s="46" t="s">
        <v>131</v>
      </c>
      <c r="G16" s="43" t="s">
        <v>7</v>
      </c>
      <c r="H16" s="43" t="s">
        <v>18</v>
      </c>
      <c r="I16" s="43" t="s">
        <v>56</v>
      </c>
      <c r="J16" s="43" t="s">
        <v>50</v>
      </c>
      <c r="K16" s="43" t="s">
        <v>43</v>
      </c>
    </row>
    <row r="17" spans="1:11" s="2" customFormat="1" x14ac:dyDescent="0.3">
      <c r="A17" s="43" t="s">
        <v>108</v>
      </c>
      <c r="B17" s="44">
        <v>46027</v>
      </c>
      <c r="C17" s="45">
        <v>1</v>
      </c>
      <c r="D17" s="45">
        <v>0</v>
      </c>
      <c r="E17" s="43" t="s">
        <v>109</v>
      </c>
      <c r="F17" s="43" t="s">
        <v>98</v>
      </c>
      <c r="G17" s="43" t="s">
        <v>7</v>
      </c>
      <c r="H17" s="43" t="s">
        <v>110</v>
      </c>
      <c r="I17" s="43" t="s">
        <v>20</v>
      </c>
      <c r="J17" s="43" t="s">
        <v>117</v>
      </c>
      <c r="K17" s="43" t="s">
        <v>13</v>
      </c>
    </row>
    <row r="18" spans="1:11" s="2" customFormat="1" x14ac:dyDescent="0.3">
      <c r="A18" s="43" t="s">
        <v>112</v>
      </c>
      <c r="B18" s="44">
        <v>45982</v>
      </c>
      <c r="C18" s="45">
        <v>9</v>
      </c>
      <c r="D18" s="45">
        <v>2</v>
      </c>
      <c r="E18" s="43" t="s">
        <v>29</v>
      </c>
      <c r="F18" s="46" t="s">
        <v>131</v>
      </c>
      <c r="G18" s="43" t="s">
        <v>7</v>
      </c>
      <c r="H18" s="43" t="s">
        <v>113</v>
      </c>
      <c r="I18" s="43" t="s">
        <v>9</v>
      </c>
      <c r="J18" s="43" t="s">
        <v>65</v>
      </c>
      <c r="K18" s="43" t="s">
        <v>48</v>
      </c>
    </row>
    <row r="19" spans="1:11" s="2" customFormat="1" x14ac:dyDescent="0.3">
      <c r="A19" s="43" t="s">
        <v>114</v>
      </c>
      <c r="B19" s="44">
        <v>45993</v>
      </c>
      <c r="C19" s="45">
        <v>2</v>
      </c>
      <c r="D19" s="45">
        <v>0</v>
      </c>
      <c r="E19" s="43" t="s">
        <v>115</v>
      </c>
      <c r="F19" s="43" t="s">
        <v>98</v>
      </c>
      <c r="G19" s="43" t="s">
        <v>7</v>
      </c>
      <c r="H19" s="43" t="s">
        <v>17</v>
      </c>
      <c r="I19" s="43" t="s">
        <v>9</v>
      </c>
      <c r="J19" s="43" t="s">
        <v>70</v>
      </c>
      <c r="K19" s="43" t="s">
        <v>91</v>
      </c>
    </row>
    <row r="20" spans="1:11" s="2" customFormat="1" x14ac:dyDescent="0.3">
      <c r="A20" s="43" t="s">
        <v>116</v>
      </c>
      <c r="B20" s="44">
        <v>45995</v>
      </c>
      <c r="C20" s="45">
        <v>1</v>
      </c>
      <c r="D20" s="45">
        <v>0</v>
      </c>
      <c r="E20" s="43" t="s">
        <v>54</v>
      </c>
      <c r="F20" s="46" t="s">
        <v>131</v>
      </c>
      <c r="G20" s="43" t="s">
        <v>7</v>
      </c>
      <c r="H20" s="43" t="s">
        <v>47</v>
      </c>
      <c r="I20" s="43" t="s">
        <v>9</v>
      </c>
      <c r="J20" s="43" t="s">
        <v>117</v>
      </c>
      <c r="K20" s="43" t="s">
        <v>118</v>
      </c>
    </row>
    <row r="21" spans="1:11" s="2" customFormat="1" x14ac:dyDescent="0.3">
      <c r="A21" s="43" t="s">
        <v>119</v>
      </c>
      <c r="B21" s="44">
        <v>46013</v>
      </c>
      <c r="C21" s="45">
        <v>1</v>
      </c>
      <c r="D21" s="45">
        <v>0</v>
      </c>
      <c r="E21" s="43" t="s">
        <v>120</v>
      </c>
      <c r="F21" s="46" t="s">
        <v>131</v>
      </c>
      <c r="G21" s="43" t="s">
        <v>7</v>
      </c>
      <c r="H21" s="43" t="s">
        <v>18</v>
      </c>
      <c r="I21" s="43" t="s">
        <v>56</v>
      </c>
      <c r="J21" s="43" t="s">
        <v>121</v>
      </c>
      <c r="K21" s="43" t="s">
        <v>22</v>
      </c>
    </row>
    <row r="22" spans="1:11" s="2" customFormat="1" ht="15" customHeight="1" x14ac:dyDescent="0.3">
      <c r="A22" s="43" t="s">
        <v>122</v>
      </c>
      <c r="B22" s="44">
        <v>46031</v>
      </c>
      <c r="C22" s="45">
        <v>2</v>
      </c>
      <c r="D22" s="45">
        <v>0</v>
      </c>
      <c r="E22" s="43" t="s">
        <v>123</v>
      </c>
      <c r="F22" s="46" t="s">
        <v>131</v>
      </c>
      <c r="G22" s="43" t="s">
        <v>7</v>
      </c>
      <c r="H22" s="43" t="s">
        <v>23</v>
      </c>
      <c r="I22" s="43" t="s">
        <v>9</v>
      </c>
      <c r="J22" s="43" t="s">
        <v>121</v>
      </c>
      <c r="K22" s="43" t="s">
        <v>13</v>
      </c>
    </row>
    <row r="23" spans="1:11" s="2" customFormat="1" ht="13.95" customHeight="1" x14ac:dyDescent="0.3">
      <c r="A23" s="43" t="s">
        <v>125</v>
      </c>
      <c r="B23" s="44">
        <v>46006</v>
      </c>
      <c r="C23" s="45">
        <v>1</v>
      </c>
      <c r="D23" s="45">
        <v>0</v>
      </c>
      <c r="E23" s="43" t="s">
        <v>126</v>
      </c>
      <c r="F23" s="43" t="s">
        <v>98</v>
      </c>
      <c r="G23" s="43" t="s">
        <v>7</v>
      </c>
      <c r="H23" s="43" t="s">
        <v>18</v>
      </c>
      <c r="I23" s="43" t="s">
        <v>56</v>
      </c>
      <c r="J23" s="43" t="s">
        <v>127</v>
      </c>
      <c r="K23" s="43" t="s">
        <v>22</v>
      </c>
    </row>
    <row r="24" spans="1:11" s="2" customFormat="1" x14ac:dyDescent="0.3">
      <c r="A24" s="43" t="s">
        <v>128</v>
      </c>
      <c r="B24" s="44">
        <v>46035</v>
      </c>
      <c r="C24" s="45">
        <v>1</v>
      </c>
      <c r="D24" s="45">
        <v>0</v>
      </c>
      <c r="E24" s="43" t="s">
        <v>129</v>
      </c>
      <c r="F24" s="46" t="s">
        <v>131</v>
      </c>
      <c r="G24" s="43" t="s">
        <v>7</v>
      </c>
      <c r="H24" s="43" t="s">
        <v>64</v>
      </c>
      <c r="I24" s="43" t="s">
        <v>9</v>
      </c>
      <c r="J24" s="43" t="s">
        <v>65</v>
      </c>
      <c r="K24" s="43" t="s">
        <v>48</v>
      </c>
    </row>
    <row r="25" spans="1:11" s="2" customFormat="1" x14ac:dyDescent="0.3">
      <c r="A25" s="43" t="s">
        <v>130</v>
      </c>
      <c r="B25" s="44">
        <v>45995</v>
      </c>
      <c r="C25" s="45">
        <v>1</v>
      </c>
      <c r="D25" s="45">
        <v>0</v>
      </c>
      <c r="E25" s="43" t="s">
        <v>30</v>
      </c>
      <c r="F25" s="46" t="s">
        <v>131</v>
      </c>
      <c r="G25" s="43" t="s">
        <v>7</v>
      </c>
      <c r="H25" s="43" t="s">
        <v>8</v>
      </c>
      <c r="I25" s="43" t="s">
        <v>9</v>
      </c>
      <c r="J25" s="43" t="s">
        <v>12</v>
      </c>
      <c r="K25" s="43" t="s">
        <v>24</v>
      </c>
    </row>
    <row r="26" spans="1:11" s="2" customFormat="1" x14ac:dyDescent="0.3">
      <c r="A26" s="43" t="s">
        <v>135</v>
      </c>
      <c r="B26" s="44">
        <v>46020</v>
      </c>
      <c r="C26" s="45">
        <v>1</v>
      </c>
      <c r="D26" s="45">
        <v>0</v>
      </c>
      <c r="E26" s="43" t="s">
        <v>136</v>
      </c>
      <c r="F26" s="46" t="s">
        <v>131</v>
      </c>
      <c r="G26" s="43" t="s">
        <v>7</v>
      </c>
      <c r="H26" s="43" t="s">
        <v>23</v>
      </c>
      <c r="I26" s="43" t="s">
        <v>9</v>
      </c>
      <c r="J26" s="43" t="s">
        <v>137</v>
      </c>
      <c r="K26" s="43" t="s">
        <v>13</v>
      </c>
    </row>
    <row r="27" spans="1:11" s="2" customFormat="1" ht="15" hidden="1" customHeight="1" x14ac:dyDescent="0.3">
      <c r="A27" s="43" t="s">
        <v>138</v>
      </c>
      <c r="B27" s="44">
        <v>46006</v>
      </c>
      <c r="C27" s="45">
        <v>5</v>
      </c>
      <c r="D27" s="45">
        <v>0</v>
      </c>
      <c r="E27" s="43" t="s">
        <v>45</v>
      </c>
      <c r="F27" s="43" t="s">
        <v>189</v>
      </c>
      <c r="G27" s="43" t="s">
        <v>7</v>
      </c>
      <c r="H27" s="43" t="s">
        <v>139</v>
      </c>
      <c r="I27" s="43" t="s">
        <v>20</v>
      </c>
      <c r="J27" s="43" t="s">
        <v>140</v>
      </c>
      <c r="K27" s="43" t="s">
        <v>22</v>
      </c>
    </row>
    <row r="28" spans="1:11" s="2" customFormat="1" x14ac:dyDescent="0.3">
      <c r="A28" s="43" t="s">
        <v>141</v>
      </c>
      <c r="B28" s="44">
        <v>46006</v>
      </c>
      <c r="C28" s="45">
        <v>4</v>
      </c>
      <c r="D28" s="45">
        <v>0</v>
      </c>
      <c r="E28" s="43" t="s">
        <v>142</v>
      </c>
      <c r="F28" s="46" t="s">
        <v>131</v>
      </c>
      <c r="G28" s="43" t="s">
        <v>7</v>
      </c>
      <c r="H28" s="43" t="s">
        <v>139</v>
      </c>
      <c r="I28" s="43" t="s">
        <v>20</v>
      </c>
      <c r="J28" s="43" t="s">
        <v>140</v>
      </c>
      <c r="K28" s="43" t="s">
        <v>33</v>
      </c>
    </row>
    <row r="29" spans="1:11" s="2" customFormat="1" x14ac:dyDescent="0.3">
      <c r="A29" s="43" t="s">
        <v>143</v>
      </c>
      <c r="B29" s="44">
        <v>46014</v>
      </c>
      <c r="C29" s="45">
        <v>2</v>
      </c>
      <c r="D29" s="45">
        <v>1</v>
      </c>
      <c r="E29" s="43" t="s">
        <v>29</v>
      </c>
      <c r="F29" s="46" t="s">
        <v>131</v>
      </c>
      <c r="G29" s="43" t="s">
        <v>7</v>
      </c>
      <c r="H29" s="43" t="s">
        <v>18</v>
      </c>
      <c r="I29" s="43" t="s">
        <v>56</v>
      </c>
      <c r="J29" s="43" t="s">
        <v>140</v>
      </c>
      <c r="K29" s="43" t="s">
        <v>22</v>
      </c>
    </row>
    <row r="30" spans="1:11" s="2" customFormat="1" x14ac:dyDescent="0.3">
      <c r="A30" s="43" t="s">
        <v>146</v>
      </c>
      <c r="B30" s="44">
        <v>46013</v>
      </c>
      <c r="C30" s="45">
        <v>1</v>
      </c>
      <c r="D30" s="45">
        <v>0</v>
      </c>
      <c r="E30" s="43" t="s">
        <v>147</v>
      </c>
      <c r="F30" s="43" t="s">
        <v>98</v>
      </c>
      <c r="G30" s="43" t="s">
        <v>7</v>
      </c>
      <c r="H30" s="43" t="s">
        <v>148</v>
      </c>
      <c r="I30" s="43" t="s">
        <v>9</v>
      </c>
      <c r="J30" s="43" t="s">
        <v>149</v>
      </c>
      <c r="K30" s="43" t="s">
        <v>13</v>
      </c>
    </row>
    <row r="31" spans="1:11" s="2" customFormat="1" x14ac:dyDescent="0.3">
      <c r="A31" s="43" t="s">
        <v>150</v>
      </c>
      <c r="B31" s="44">
        <v>46013</v>
      </c>
      <c r="C31" s="45">
        <v>1</v>
      </c>
      <c r="D31" s="45">
        <v>0</v>
      </c>
      <c r="E31" s="43" t="s">
        <v>151</v>
      </c>
      <c r="F31" s="43" t="s">
        <v>98</v>
      </c>
      <c r="G31" s="43" t="s">
        <v>7</v>
      </c>
      <c r="H31" s="43" t="s">
        <v>148</v>
      </c>
      <c r="I31" s="43" t="s">
        <v>9</v>
      </c>
      <c r="J31" s="43" t="s">
        <v>149</v>
      </c>
      <c r="K31" s="43" t="s">
        <v>13</v>
      </c>
    </row>
    <row r="32" spans="1:11" s="2" customFormat="1" x14ac:dyDescent="0.3">
      <c r="A32" s="43" t="s">
        <v>152</v>
      </c>
      <c r="B32" s="44">
        <v>46006</v>
      </c>
      <c r="C32" s="45">
        <v>1</v>
      </c>
      <c r="D32" s="45">
        <v>0</v>
      </c>
      <c r="E32" s="43" t="s">
        <v>153</v>
      </c>
      <c r="F32" s="46" t="s">
        <v>131</v>
      </c>
      <c r="G32" s="43" t="s">
        <v>7</v>
      </c>
      <c r="H32" s="43" t="s">
        <v>33</v>
      </c>
      <c r="I32" s="43" t="s">
        <v>20</v>
      </c>
      <c r="J32" s="43" t="s">
        <v>77</v>
      </c>
      <c r="K32" s="43" t="s">
        <v>13</v>
      </c>
    </row>
    <row r="33" spans="1:19" s="2" customFormat="1" x14ac:dyDescent="0.3">
      <c r="A33" s="43" t="s">
        <v>154</v>
      </c>
      <c r="B33" s="44">
        <v>46015</v>
      </c>
      <c r="C33" s="45">
        <v>1</v>
      </c>
      <c r="D33" s="45">
        <v>0</v>
      </c>
      <c r="E33" s="43" t="s">
        <v>155</v>
      </c>
      <c r="F33" s="43" t="s">
        <v>98</v>
      </c>
      <c r="G33" s="43" t="s">
        <v>7</v>
      </c>
      <c r="H33" s="43" t="s">
        <v>47</v>
      </c>
      <c r="I33" s="43" t="s">
        <v>9</v>
      </c>
      <c r="J33" s="43" t="s">
        <v>156</v>
      </c>
      <c r="K33" s="43" t="s">
        <v>13</v>
      </c>
    </row>
    <row r="34" spans="1:19" s="2" customFormat="1" x14ac:dyDescent="0.3">
      <c r="A34" s="43" t="s">
        <v>157</v>
      </c>
      <c r="B34" s="44">
        <v>46020</v>
      </c>
      <c r="C34" s="45">
        <v>1</v>
      </c>
      <c r="D34" s="45">
        <v>0</v>
      </c>
      <c r="E34" s="43" t="s">
        <v>158</v>
      </c>
      <c r="F34" s="43" t="s">
        <v>98</v>
      </c>
      <c r="G34" s="43" t="s">
        <v>7</v>
      </c>
      <c r="H34" s="43" t="s">
        <v>17</v>
      </c>
      <c r="I34" s="43" t="s">
        <v>9</v>
      </c>
      <c r="J34" s="43" t="s">
        <v>159</v>
      </c>
      <c r="K34" s="43" t="s">
        <v>28</v>
      </c>
    </row>
    <row r="35" spans="1:19" s="2" customFormat="1" x14ac:dyDescent="0.3">
      <c r="A35" s="43" t="s">
        <v>160</v>
      </c>
      <c r="B35" s="44">
        <v>46020</v>
      </c>
      <c r="C35" s="45">
        <v>1</v>
      </c>
      <c r="D35" s="45">
        <v>0</v>
      </c>
      <c r="E35" s="43" t="s">
        <v>161</v>
      </c>
      <c r="F35" s="46" t="s">
        <v>131</v>
      </c>
      <c r="G35" s="43" t="s">
        <v>7</v>
      </c>
      <c r="H35" s="43" t="s">
        <v>18</v>
      </c>
      <c r="I35" s="43" t="s">
        <v>56</v>
      </c>
      <c r="J35" s="43" t="s">
        <v>137</v>
      </c>
      <c r="K35" s="43" t="s">
        <v>13</v>
      </c>
    </row>
    <row r="36" spans="1:19" s="2" customFormat="1" x14ac:dyDescent="0.3">
      <c r="A36" s="43" t="s">
        <v>162</v>
      </c>
      <c r="B36" s="44">
        <v>46019</v>
      </c>
      <c r="C36" s="45">
        <v>1</v>
      </c>
      <c r="D36" s="45">
        <v>0</v>
      </c>
      <c r="E36" s="43" t="s">
        <v>166</v>
      </c>
      <c r="F36" s="46" t="s">
        <v>131</v>
      </c>
      <c r="G36" s="43" t="s">
        <v>7</v>
      </c>
      <c r="H36" s="43" t="s">
        <v>33</v>
      </c>
      <c r="I36" s="43" t="s">
        <v>20</v>
      </c>
      <c r="J36" s="43" t="s">
        <v>166</v>
      </c>
      <c r="K36" s="43" t="s">
        <v>13</v>
      </c>
    </row>
    <row r="37" spans="1:19" s="2" customFormat="1" x14ac:dyDescent="0.3">
      <c r="A37" s="43" t="s">
        <v>163</v>
      </c>
      <c r="B37" s="44">
        <v>46030</v>
      </c>
      <c r="C37" s="45">
        <v>1</v>
      </c>
      <c r="D37" s="45">
        <v>0</v>
      </c>
      <c r="E37" s="43" t="s">
        <v>164</v>
      </c>
      <c r="F37" s="43" t="s">
        <v>98</v>
      </c>
      <c r="G37" s="43" t="s">
        <v>7</v>
      </c>
      <c r="H37" s="43" t="s">
        <v>17</v>
      </c>
      <c r="I37" s="43" t="s">
        <v>9</v>
      </c>
      <c r="J37" s="43" t="s">
        <v>165</v>
      </c>
      <c r="K37" s="43" t="s">
        <v>13</v>
      </c>
    </row>
    <row r="38" spans="1:19" s="2" customFormat="1" x14ac:dyDescent="0.3">
      <c r="A38" s="43" t="s">
        <v>178</v>
      </c>
      <c r="B38" s="44">
        <v>46031</v>
      </c>
      <c r="C38" s="45">
        <v>1</v>
      </c>
      <c r="D38" s="45">
        <v>0</v>
      </c>
      <c r="E38" s="43" t="s">
        <v>179</v>
      </c>
      <c r="F38" s="46" t="s">
        <v>131</v>
      </c>
      <c r="G38" s="43" t="s">
        <v>7</v>
      </c>
      <c r="H38" s="43" t="s">
        <v>18</v>
      </c>
      <c r="I38" s="43" t="s">
        <v>56</v>
      </c>
      <c r="J38" s="43" t="s">
        <v>180</v>
      </c>
      <c r="K38" s="43" t="s">
        <v>21</v>
      </c>
    </row>
    <row r="39" spans="1:19" s="2" customFormat="1" ht="14.25" customHeight="1" x14ac:dyDescent="0.3">
      <c r="A39" s="43" t="s">
        <v>181</v>
      </c>
      <c r="B39" s="44">
        <v>46036</v>
      </c>
      <c r="C39" s="45">
        <v>1</v>
      </c>
      <c r="D39" s="45">
        <v>0</v>
      </c>
      <c r="E39" s="43" t="s">
        <v>182</v>
      </c>
      <c r="F39" s="46" t="s">
        <v>131</v>
      </c>
      <c r="G39" s="43" t="s">
        <v>7</v>
      </c>
      <c r="H39" s="43" t="s">
        <v>18</v>
      </c>
      <c r="I39" s="43" t="s">
        <v>56</v>
      </c>
      <c r="J39" s="43" t="s">
        <v>105</v>
      </c>
      <c r="K39" s="43" t="s">
        <v>43</v>
      </c>
    </row>
    <row r="40" spans="1:19" s="2" customFormat="1" ht="14.25" customHeight="1" x14ac:dyDescent="0.3">
      <c r="A40" s="43" t="s">
        <v>188</v>
      </c>
      <c r="B40" s="44">
        <v>46036</v>
      </c>
      <c r="C40" s="45">
        <v>1</v>
      </c>
      <c r="D40" s="45">
        <v>0</v>
      </c>
      <c r="E40" s="43" t="s">
        <v>41</v>
      </c>
      <c r="F40" s="43" t="s">
        <v>98</v>
      </c>
      <c r="G40" s="43" t="s">
        <v>7</v>
      </c>
      <c r="H40" s="43" t="s">
        <v>18</v>
      </c>
      <c r="I40" s="43" t="s">
        <v>56</v>
      </c>
      <c r="J40" s="43" t="s">
        <v>82</v>
      </c>
      <c r="K40" s="43" t="s">
        <v>22</v>
      </c>
    </row>
    <row r="41" spans="1:19" s="2" customFormat="1" ht="13.95" customHeight="1" x14ac:dyDescent="0.3">
      <c r="A41" s="43" t="s">
        <v>192</v>
      </c>
      <c r="B41" s="44">
        <v>46036</v>
      </c>
      <c r="C41" s="45">
        <v>2</v>
      </c>
      <c r="D41" s="45">
        <v>0</v>
      </c>
      <c r="E41" s="43" t="s">
        <v>193</v>
      </c>
      <c r="F41" s="46" t="s">
        <v>131</v>
      </c>
      <c r="G41" s="43" t="s">
        <v>7</v>
      </c>
      <c r="H41" s="43" t="s">
        <v>18</v>
      </c>
      <c r="I41" s="43" t="s">
        <v>56</v>
      </c>
      <c r="J41" s="43" t="s">
        <v>95</v>
      </c>
      <c r="K41" s="43" t="s">
        <v>194</v>
      </c>
    </row>
    <row r="42" spans="1:19" s="2" customFormat="1" ht="13.95" customHeight="1" x14ac:dyDescent="0.3">
      <c r="A42" s="43" t="s">
        <v>197</v>
      </c>
      <c r="B42" s="44">
        <v>46036</v>
      </c>
      <c r="C42" s="45">
        <v>1</v>
      </c>
      <c r="D42" s="45">
        <v>0</v>
      </c>
      <c r="E42" s="43" t="s">
        <v>93</v>
      </c>
      <c r="F42" s="46" t="s">
        <v>131</v>
      </c>
      <c r="G42" s="43" t="s">
        <v>7</v>
      </c>
      <c r="H42" s="43" t="s">
        <v>33</v>
      </c>
      <c r="I42" s="43" t="s">
        <v>20</v>
      </c>
      <c r="J42" s="43" t="s">
        <v>140</v>
      </c>
      <c r="K42" s="43" t="s">
        <v>22</v>
      </c>
    </row>
    <row r="43" spans="1:19" s="2" customFormat="1" ht="13.95" customHeight="1" x14ac:dyDescent="0.3">
      <c r="A43" s="43" t="s">
        <v>202</v>
      </c>
      <c r="B43" s="44">
        <v>46036</v>
      </c>
      <c r="C43" s="45">
        <v>1</v>
      </c>
      <c r="D43" s="45">
        <v>0</v>
      </c>
      <c r="E43" s="43" t="s">
        <v>54</v>
      </c>
      <c r="F43" s="43" t="s">
        <v>98</v>
      </c>
      <c r="G43" s="43" t="s">
        <v>7</v>
      </c>
      <c r="H43" s="43" t="s">
        <v>33</v>
      </c>
      <c r="I43" s="43" t="s">
        <v>20</v>
      </c>
      <c r="J43" s="43" t="s">
        <v>203</v>
      </c>
      <c r="K43" s="43" t="s">
        <v>24</v>
      </c>
    </row>
    <row r="44" spans="1:19" s="2" customFormat="1" ht="13.95" hidden="1" customHeight="1" x14ac:dyDescent="0.3">
      <c r="A44" s="40"/>
      <c r="B44" s="41"/>
      <c r="C44" s="42"/>
      <c r="D44" s="42"/>
      <c r="E44" s="40"/>
      <c r="F44" s="40"/>
      <c r="G44" s="40"/>
      <c r="H44" s="40"/>
      <c r="I44" s="40"/>
      <c r="J44" s="40"/>
      <c r="K44" s="40"/>
    </row>
    <row r="45" spans="1:19" s="2" customFormat="1" ht="14.25" hidden="1" customHeight="1" x14ac:dyDescent="0.3">
      <c r="A45" s="40"/>
      <c r="B45" s="41"/>
      <c r="C45" s="42"/>
      <c r="D45" s="42"/>
      <c r="E45" s="40"/>
      <c r="F45" s="40"/>
      <c r="G45" s="40"/>
      <c r="H45" s="40"/>
      <c r="I45" s="40"/>
      <c r="J45" s="40"/>
      <c r="K45" s="40"/>
    </row>
    <row r="46" spans="1:19" s="2" customFormat="1" ht="14.25" hidden="1" customHeight="1" x14ac:dyDescent="0.3">
      <c r="A46" s="40"/>
      <c r="B46" s="41"/>
      <c r="C46" s="42"/>
      <c r="D46" s="42"/>
      <c r="E46" s="40"/>
      <c r="F46" s="40"/>
      <c r="G46" s="40"/>
      <c r="H46" s="40"/>
      <c r="I46" s="40"/>
      <c r="J46" s="40"/>
      <c r="K46" s="40"/>
    </row>
    <row r="47" spans="1:19" ht="15" thickBot="1" x14ac:dyDescent="0.35">
      <c r="A47" s="40"/>
      <c r="B47" s="41"/>
      <c r="C47" s="42"/>
      <c r="D47" s="42"/>
      <c r="E47" s="40"/>
      <c r="F47" s="40"/>
      <c r="G47" s="40"/>
      <c r="H47" s="40"/>
      <c r="I47" s="40"/>
      <c r="J47" s="40"/>
      <c r="K47" s="40"/>
      <c r="P47" s="3"/>
      <c r="Q47" s="3"/>
      <c r="R47" s="4"/>
      <c r="S47" s="4"/>
    </row>
    <row r="48" spans="1:19" ht="15" thickBot="1" x14ac:dyDescent="0.35">
      <c r="B48" s="34" t="s">
        <v>31</v>
      </c>
      <c r="C48" s="12">
        <f>SUM(C4:C40)-SUM(D4:D40)</f>
        <v>56</v>
      </c>
      <c r="D48" s="29"/>
      <c r="F48" s="35" t="s">
        <v>57</v>
      </c>
      <c r="G48" s="36">
        <f>COUNTIF(I4:I43,"Pending")</f>
        <v>10</v>
      </c>
      <c r="I48" s="38" t="s">
        <v>58</v>
      </c>
      <c r="J48" s="39">
        <f>C48-G48</f>
        <v>46</v>
      </c>
    </row>
    <row r="49" spans="1:11" x14ac:dyDescent="0.3">
      <c r="G49" s="3"/>
      <c r="H49" s="4"/>
      <c r="I49" s="3"/>
    </row>
    <row r="50" spans="1:11" x14ac:dyDescent="0.3">
      <c r="D50" s="13"/>
    </row>
    <row r="51" spans="1:11" s="6" customFormat="1" ht="28.8" x14ac:dyDescent="0.3">
      <c r="A51" s="28" t="s">
        <v>0</v>
      </c>
      <c r="B51" s="28" t="s">
        <v>1</v>
      </c>
      <c r="C51" s="28" t="s">
        <v>2</v>
      </c>
      <c r="D51" s="28" t="s">
        <v>3</v>
      </c>
      <c r="E51" s="28" t="s">
        <v>4</v>
      </c>
      <c r="F51" s="28" t="s">
        <v>51</v>
      </c>
      <c r="G51" s="28" t="s">
        <v>52</v>
      </c>
      <c r="H51" s="28" t="s">
        <v>5</v>
      </c>
      <c r="I51" s="28" t="s">
        <v>53</v>
      </c>
      <c r="J51" s="28" t="s">
        <v>27</v>
      </c>
      <c r="K51" s="28" t="s">
        <v>6</v>
      </c>
    </row>
    <row r="52" spans="1:11" s="14" customFormat="1" x14ac:dyDescent="0.3">
      <c r="A52" s="43" t="s">
        <v>170</v>
      </c>
      <c r="B52" s="44">
        <v>46013</v>
      </c>
      <c r="C52" s="45">
        <v>1</v>
      </c>
      <c r="D52" s="45">
        <v>0</v>
      </c>
      <c r="E52" s="43" t="s">
        <v>171</v>
      </c>
      <c r="F52" s="46" t="s">
        <v>131</v>
      </c>
      <c r="G52" s="43" t="s">
        <v>32</v>
      </c>
      <c r="H52" s="43" t="s">
        <v>148</v>
      </c>
      <c r="I52" s="43" t="s">
        <v>20</v>
      </c>
      <c r="J52" s="43" t="s">
        <v>105</v>
      </c>
      <c r="K52" s="43" t="s">
        <v>19</v>
      </c>
    </row>
    <row r="53" spans="1:11" s="14" customFormat="1" hidden="1" x14ac:dyDescent="0.3">
      <c r="A53" s="7"/>
      <c r="B53" s="8"/>
      <c r="C53" s="9"/>
      <c r="D53" s="9"/>
      <c r="E53" s="7"/>
      <c r="F53" s="7"/>
      <c r="G53" s="7"/>
      <c r="H53" s="7"/>
      <c r="I53" s="7"/>
      <c r="J53" s="7"/>
      <c r="K53" s="7"/>
    </row>
    <row r="54" spans="1:11" s="14" customFormat="1" ht="15" hidden="1" customHeight="1" x14ac:dyDescent="0.3">
      <c r="A54" s="7"/>
      <c r="B54" s="8"/>
      <c r="C54" s="9"/>
      <c r="D54" s="9"/>
      <c r="E54" s="7"/>
      <c r="F54" s="7"/>
      <c r="G54" s="7"/>
      <c r="H54" s="7"/>
      <c r="I54" s="7"/>
      <c r="J54" s="7"/>
      <c r="K54" s="31"/>
    </row>
    <row r="55" spans="1:11" s="14" customFormat="1" ht="15" hidden="1" customHeight="1" x14ac:dyDescent="0.3">
      <c r="A55" s="15"/>
      <c r="B55" s="16"/>
      <c r="C55" s="17"/>
      <c r="D55" s="17"/>
      <c r="E55" s="15"/>
      <c r="F55" s="15"/>
      <c r="G55" s="15"/>
      <c r="H55" s="15"/>
      <c r="I55" s="15"/>
      <c r="J55" s="15"/>
      <c r="K55" s="31"/>
    </row>
    <row r="56" spans="1:11" s="18" customFormat="1" ht="15" hidden="1" customHeight="1" x14ac:dyDescent="0.3">
      <c r="A56" s="15"/>
      <c r="B56" s="16"/>
      <c r="C56" s="17"/>
      <c r="D56" s="17"/>
      <c r="E56" s="15"/>
      <c r="F56" s="15"/>
      <c r="G56" s="15"/>
      <c r="H56" s="15"/>
      <c r="I56" s="15"/>
      <c r="J56" s="15"/>
      <c r="K56" s="32"/>
    </row>
    <row r="57" spans="1:11" s="18" customFormat="1" ht="15" hidden="1" customHeight="1" x14ac:dyDescent="0.3">
      <c r="A57" s="19"/>
      <c r="B57" s="20"/>
      <c r="C57" s="21"/>
      <c r="D57" s="21"/>
      <c r="E57" s="19"/>
      <c r="F57" s="19"/>
      <c r="G57" s="19"/>
      <c r="H57" s="19"/>
      <c r="I57" s="19"/>
      <c r="J57" s="19"/>
      <c r="K57" s="32"/>
    </row>
    <row r="58" spans="1:11" s="18" customFormat="1" ht="15" hidden="1" customHeight="1" x14ac:dyDescent="0.3">
      <c r="A58" s="19"/>
      <c r="B58" s="20"/>
      <c r="C58" s="21"/>
      <c r="D58" s="21"/>
      <c r="E58" s="19"/>
      <c r="F58" s="19"/>
      <c r="G58" s="19"/>
      <c r="H58" s="19"/>
      <c r="I58" s="19"/>
      <c r="J58" s="19"/>
      <c r="K58" s="32"/>
    </row>
    <row r="59" spans="1:11" s="18" customFormat="1" ht="15" hidden="1" customHeight="1" x14ac:dyDescent="0.3">
      <c r="A59" s="19"/>
      <c r="B59" s="20"/>
      <c r="C59" s="21"/>
      <c r="D59" s="21"/>
      <c r="E59" s="19"/>
      <c r="F59" s="19"/>
      <c r="G59" s="19"/>
      <c r="H59" s="19"/>
      <c r="I59" s="19"/>
      <c r="J59" s="19"/>
      <c r="K59" s="32"/>
    </row>
    <row r="60" spans="1:11" s="18" customFormat="1" ht="15" hidden="1" customHeight="1" x14ac:dyDescent="0.3">
      <c r="A60" s="47"/>
      <c r="B60" s="48"/>
      <c r="C60" s="49"/>
      <c r="D60" s="49"/>
      <c r="E60" s="47"/>
      <c r="F60" s="47"/>
      <c r="G60" s="47"/>
      <c r="H60" s="47"/>
      <c r="I60" s="47"/>
      <c r="J60" s="47"/>
      <c r="K60" s="50"/>
    </row>
    <row r="61" spans="1:11" x14ac:dyDescent="0.3">
      <c r="A61" s="51"/>
      <c r="B61" s="52"/>
      <c r="C61" s="53"/>
      <c r="D61" s="53"/>
      <c r="E61" s="51"/>
      <c r="F61" s="51"/>
      <c r="G61" s="51"/>
      <c r="H61" s="51"/>
      <c r="I61" s="51"/>
      <c r="J61" s="51"/>
      <c r="K61" s="2"/>
    </row>
    <row r="62" spans="1:11" ht="15" thickBot="1" x14ac:dyDescent="0.35">
      <c r="B62" s="33" t="s">
        <v>34</v>
      </c>
      <c r="C62" s="30">
        <f>SUM(C52:C53)-SUM(D52:D53)</f>
        <v>1</v>
      </c>
      <c r="E62" s="2"/>
      <c r="F62" s="2"/>
      <c r="H62" s="2"/>
      <c r="J62" s="2"/>
      <c r="K62" s="2"/>
    </row>
    <row r="63" spans="1:11" x14ac:dyDescent="0.3">
      <c r="E63" s="2"/>
      <c r="F63" s="2"/>
      <c r="H63" s="2"/>
      <c r="J63" s="2"/>
      <c r="K63" s="2"/>
    </row>
    <row r="64" spans="1:11" x14ac:dyDescent="0.3">
      <c r="E64" s="2"/>
      <c r="F64" s="2"/>
      <c r="H64" s="2"/>
      <c r="J64" s="2"/>
      <c r="K64" s="2"/>
    </row>
    <row r="65" spans="1:29" s="2" customFormat="1" ht="34.35" customHeight="1" x14ac:dyDescent="0.3">
      <c r="A65" s="28" t="s">
        <v>0</v>
      </c>
      <c r="B65" s="28" t="s">
        <v>1</v>
      </c>
      <c r="C65" s="28" t="s">
        <v>2</v>
      </c>
      <c r="D65" s="28" t="s">
        <v>3</v>
      </c>
      <c r="E65" s="28" t="s">
        <v>4</v>
      </c>
      <c r="F65" s="28" t="s">
        <v>51</v>
      </c>
      <c r="G65" s="28" t="s">
        <v>52</v>
      </c>
      <c r="H65" s="28" t="s">
        <v>5</v>
      </c>
      <c r="I65" s="28" t="s">
        <v>53</v>
      </c>
      <c r="J65" s="28" t="s">
        <v>27</v>
      </c>
      <c r="K65" s="28" t="s">
        <v>6</v>
      </c>
    </row>
    <row r="66" spans="1:29" x14ac:dyDescent="0.3">
      <c r="A66" s="43" t="s">
        <v>100</v>
      </c>
      <c r="B66" s="44">
        <v>46027</v>
      </c>
      <c r="C66" s="45">
        <v>2</v>
      </c>
      <c r="D66" s="45">
        <v>0</v>
      </c>
      <c r="E66" s="43" t="s">
        <v>101</v>
      </c>
      <c r="F66" s="43" t="s">
        <v>98</v>
      </c>
      <c r="G66" s="43" t="s">
        <v>55</v>
      </c>
      <c r="H66" s="43" t="s">
        <v>102</v>
      </c>
      <c r="I66" s="43" t="s">
        <v>20</v>
      </c>
      <c r="J66" s="43" t="s">
        <v>103</v>
      </c>
      <c r="K66" s="43" t="s">
        <v>21</v>
      </c>
    </row>
    <row r="67" spans="1:29" x14ac:dyDescent="0.3">
      <c r="A67" s="43" t="s">
        <v>172</v>
      </c>
      <c r="B67" s="44">
        <v>46017</v>
      </c>
      <c r="C67" s="45">
        <v>1</v>
      </c>
      <c r="D67" s="45">
        <v>0</v>
      </c>
      <c r="E67" s="43" t="s">
        <v>173</v>
      </c>
      <c r="F67" s="43" t="s">
        <v>98</v>
      </c>
      <c r="G67" s="43" t="s">
        <v>55</v>
      </c>
      <c r="H67" s="43" t="s">
        <v>33</v>
      </c>
      <c r="I67" s="43" t="s">
        <v>20</v>
      </c>
      <c r="J67" s="43" t="s">
        <v>175</v>
      </c>
      <c r="K67" s="43" t="s">
        <v>176</v>
      </c>
    </row>
    <row r="68" spans="1:29" x14ac:dyDescent="0.3">
      <c r="A68" s="43" t="s">
        <v>184</v>
      </c>
      <c r="B68" s="44">
        <v>46028</v>
      </c>
      <c r="C68" s="45">
        <v>1</v>
      </c>
      <c r="D68" s="45">
        <v>0</v>
      </c>
      <c r="E68" s="43" t="s">
        <v>164</v>
      </c>
      <c r="F68" s="43" t="s">
        <v>98</v>
      </c>
      <c r="G68" s="43" t="s">
        <v>55</v>
      </c>
      <c r="H68" s="43" t="s">
        <v>185</v>
      </c>
      <c r="I68" s="43" t="s">
        <v>20</v>
      </c>
      <c r="J68" s="43" t="s">
        <v>186</v>
      </c>
      <c r="K68" s="43" t="s">
        <v>22</v>
      </c>
    </row>
    <row r="69" spans="1:29" x14ac:dyDescent="0.3">
      <c r="A69" s="43" t="s">
        <v>187</v>
      </c>
      <c r="B69" s="44">
        <v>46028</v>
      </c>
      <c r="C69" s="45">
        <v>2</v>
      </c>
      <c r="D69" s="45">
        <v>0</v>
      </c>
      <c r="E69" s="43" t="s">
        <v>168</v>
      </c>
      <c r="F69" s="43" t="s">
        <v>200</v>
      </c>
      <c r="G69" s="43" t="s">
        <v>55</v>
      </c>
      <c r="H69" s="43" t="s">
        <v>33</v>
      </c>
      <c r="I69" s="43" t="s">
        <v>20</v>
      </c>
      <c r="J69" s="43" t="s">
        <v>105</v>
      </c>
      <c r="K69" s="43" t="s">
        <v>43</v>
      </c>
    </row>
    <row r="70" spans="1:29" x14ac:dyDescent="0.3">
      <c r="A70" s="43" t="s">
        <v>198</v>
      </c>
      <c r="B70" s="44">
        <v>46031</v>
      </c>
      <c r="C70" s="45">
        <v>1</v>
      </c>
      <c r="D70" s="45">
        <v>0</v>
      </c>
      <c r="E70" s="43" t="s">
        <v>199</v>
      </c>
      <c r="F70" s="43" t="s">
        <v>200</v>
      </c>
      <c r="G70" s="43" t="s">
        <v>55</v>
      </c>
      <c r="H70" s="43" t="s">
        <v>33</v>
      </c>
      <c r="I70" s="43" t="s">
        <v>20</v>
      </c>
      <c r="J70" s="43" t="s">
        <v>12</v>
      </c>
      <c r="K70" s="43" t="s">
        <v>24</v>
      </c>
    </row>
    <row r="71" spans="1:29" x14ac:dyDescent="0.3">
      <c r="A71" s="43" t="s">
        <v>204</v>
      </c>
      <c r="B71" s="44">
        <v>46035</v>
      </c>
      <c r="C71" s="45">
        <v>1</v>
      </c>
      <c r="D71" s="45">
        <v>0</v>
      </c>
      <c r="E71" s="43" t="s">
        <v>205</v>
      </c>
      <c r="F71" s="43" t="s">
        <v>98</v>
      </c>
      <c r="G71" s="43" t="s">
        <v>55</v>
      </c>
      <c r="H71" s="43" t="s">
        <v>183</v>
      </c>
      <c r="I71" s="43" t="s">
        <v>20</v>
      </c>
      <c r="J71" s="43" t="s">
        <v>206</v>
      </c>
      <c r="K71" s="43" t="s">
        <v>13</v>
      </c>
    </row>
    <row r="72" spans="1:29" s="2" customFormat="1" x14ac:dyDescent="0.3">
      <c r="A72" s="43" t="s">
        <v>207</v>
      </c>
      <c r="B72" s="44">
        <v>46035</v>
      </c>
      <c r="C72" s="45">
        <v>1</v>
      </c>
      <c r="D72" s="45">
        <v>0</v>
      </c>
      <c r="E72" s="43" t="s">
        <v>208</v>
      </c>
      <c r="F72" s="43" t="s">
        <v>98</v>
      </c>
      <c r="G72" s="43" t="s">
        <v>55</v>
      </c>
      <c r="H72" s="43" t="s">
        <v>110</v>
      </c>
      <c r="I72" s="43" t="s">
        <v>20</v>
      </c>
      <c r="J72" s="43" t="s">
        <v>117</v>
      </c>
      <c r="K72" s="43" t="s">
        <v>13</v>
      </c>
      <c r="L72" s="4"/>
      <c r="M72" s="4"/>
      <c r="N72" s="4"/>
      <c r="O72" s="4"/>
      <c r="P72" s="4"/>
      <c r="Q72" s="4"/>
      <c r="R72" s="3"/>
      <c r="S72" s="3"/>
      <c r="T72" s="4"/>
      <c r="U72" s="4"/>
      <c r="V72" s="4"/>
      <c r="W72" s="4"/>
      <c r="X72" s="4"/>
      <c r="Y72" s="4"/>
      <c r="Z72" s="4"/>
      <c r="AA72" s="4"/>
      <c r="AB72" s="4"/>
      <c r="AC72" s="4"/>
    </row>
    <row r="73" spans="1:29" s="2" customFormat="1" x14ac:dyDescent="0.3">
      <c r="A73" s="43" t="s">
        <v>209</v>
      </c>
      <c r="B73" s="44">
        <v>46035</v>
      </c>
      <c r="C73" s="45">
        <v>1</v>
      </c>
      <c r="D73" s="45">
        <v>0</v>
      </c>
      <c r="E73" s="43" t="s">
        <v>210</v>
      </c>
      <c r="F73" s="43" t="s">
        <v>98</v>
      </c>
      <c r="G73" s="43" t="s">
        <v>55</v>
      </c>
      <c r="H73" s="43" t="s">
        <v>183</v>
      </c>
      <c r="I73" s="43" t="s">
        <v>20</v>
      </c>
      <c r="J73" s="43" t="s">
        <v>206</v>
      </c>
      <c r="K73" s="43" t="s">
        <v>13</v>
      </c>
      <c r="L73" s="4"/>
      <c r="M73" s="4"/>
      <c r="N73" s="4"/>
      <c r="O73" s="4"/>
      <c r="P73" s="4"/>
      <c r="Q73" s="4"/>
      <c r="R73" s="3"/>
      <c r="S73" s="3"/>
      <c r="T73" s="4"/>
      <c r="U73" s="4"/>
      <c r="V73" s="4"/>
      <c r="W73" s="4"/>
      <c r="X73" s="4"/>
      <c r="Y73" s="4"/>
      <c r="Z73" s="4"/>
      <c r="AA73" s="4"/>
      <c r="AB73" s="4"/>
      <c r="AC73" s="4"/>
    </row>
    <row r="74" spans="1:29" s="2" customFormat="1" x14ac:dyDescent="0.3">
      <c r="A74" s="43" t="s">
        <v>211</v>
      </c>
      <c r="B74" s="44">
        <v>46036</v>
      </c>
      <c r="C74" s="45">
        <v>1</v>
      </c>
      <c r="D74" s="45">
        <v>0</v>
      </c>
      <c r="E74" s="43" t="s">
        <v>25</v>
      </c>
      <c r="F74" s="43" t="s">
        <v>200</v>
      </c>
      <c r="G74" s="43" t="s">
        <v>55</v>
      </c>
      <c r="H74" s="43" t="s">
        <v>33</v>
      </c>
      <c r="I74" s="43" t="s">
        <v>20</v>
      </c>
      <c r="J74" s="43" t="s">
        <v>105</v>
      </c>
      <c r="K74" s="43" t="s">
        <v>43</v>
      </c>
      <c r="L74" s="4"/>
      <c r="M74" s="4"/>
      <c r="N74" s="4"/>
      <c r="O74" s="4"/>
      <c r="P74" s="4"/>
      <c r="Q74" s="4"/>
      <c r="R74" s="3"/>
      <c r="S74" s="3"/>
      <c r="T74" s="4"/>
      <c r="U74" s="4"/>
      <c r="V74" s="4"/>
      <c r="W74" s="4"/>
      <c r="X74" s="4"/>
      <c r="Y74" s="4"/>
      <c r="Z74" s="4"/>
      <c r="AA74" s="4"/>
      <c r="AB74" s="4"/>
      <c r="AC74" s="4"/>
    </row>
    <row r="75" spans="1:29" s="2" customFormat="1" x14ac:dyDescent="0.3">
      <c r="E75" s="3"/>
      <c r="F75" s="3"/>
      <c r="G75" s="5"/>
      <c r="H75" s="18"/>
      <c r="J75" s="3"/>
      <c r="K75" s="3"/>
      <c r="L75" s="4"/>
      <c r="M75" s="4"/>
      <c r="N75" s="4"/>
      <c r="O75" s="4"/>
      <c r="P75" s="4"/>
      <c r="Q75" s="4"/>
      <c r="R75" s="3"/>
      <c r="S75" s="3"/>
      <c r="T75" s="4"/>
      <c r="U75" s="4"/>
      <c r="V75" s="4"/>
      <c r="W75" s="4"/>
      <c r="X75" s="4"/>
      <c r="Y75" s="4"/>
      <c r="Z75" s="4"/>
      <c r="AA75" s="4"/>
      <c r="AB75" s="4"/>
      <c r="AC75" s="4"/>
    </row>
    <row r="76" spans="1:29" s="2" customFormat="1" ht="15" thickBot="1" x14ac:dyDescent="0.35">
      <c r="E76" s="3"/>
      <c r="F76" s="3"/>
      <c r="G76" s="5"/>
      <c r="H76" s="18"/>
      <c r="J76" s="3"/>
      <c r="K76" s="3"/>
      <c r="L76" s="4"/>
      <c r="M76" s="4"/>
      <c r="N76" s="4"/>
      <c r="O76" s="4"/>
      <c r="P76" s="4"/>
      <c r="Q76" s="4"/>
      <c r="R76" s="3"/>
      <c r="S76" s="3"/>
      <c r="T76" s="4"/>
      <c r="U76" s="4"/>
      <c r="V76" s="4"/>
      <c r="W76" s="4"/>
      <c r="X76" s="4"/>
      <c r="Y76" s="4"/>
      <c r="Z76" s="4"/>
      <c r="AA76" s="4"/>
      <c r="AB76" s="4"/>
      <c r="AC76" s="4"/>
    </row>
    <row r="77" spans="1:29" s="2" customFormat="1" ht="15" thickBot="1" x14ac:dyDescent="0.35">
      <c r="B77" s="38" t="s">
        <v>35</v>
      </c>
      <c r="C77" s="22">
        <f>SUM(C66:C74)-SUM(D66:D74)</f>
        <v>11</v>
      </c>
      <c r="E77" s="3"/>
      <c r="F77" s="3"/>
      <c r="G77" s="5"/>
      <c r="H77" s="18"/>
      <c r="J77" s="3"/>
      <c r="K77" s="3"/>
      <c r="L77" s="4"/>
      <c r="M77" s="4"/>
      <c r="N77" s="4"/>
      <c r="O77" s="4"/>
      <c r="P77" s="4"/>
      <c r="Q77" s="4"/>
      <c r="R77" s="3"/>
      <c r="S77" s="3"/>
      <c r="T77" s="4"/>
      <c r="U77" s="4"/>
      <c r="V77" s="4"/>
      <c r="W77" s="4"/>
      <c r="X77" s="4"/>
      <c r="Y77" s="4"/>
      <c r="Z77" s="4"/>
      <c r="AA77" s="4"/>
      <c r="AB77" s="4"/>
      <c r="AC77" s="4"/>
    </row>
  </sheetData>
  <autoFilter ref="A3:J40" xr:uid="{6E392464-0CD5-4B6C-9B5A-A4EF4B03C567}"/>
  <conditionalFormatting sqref="F1:F46">
    <cfRule type="cellIs" dxfId="260" priority="13" operator="equal">
      <formula>"Non-Billable"</formula>
    </cfRule>
    <cfRule type="cellIs" dxfId="259" priority="14" operator="equal">
      <formula>"Billable"</formula>
    </cfRule>
  </conditionalFormatting>
  <conditionalFormatting sqref="F47">
    <cfRule type="cellIs" dxfId="258" priority="60" operator="equal">
      <formula>"Not Accepting Application"</formula>
    </cfRule>
    <cfRule type="cellIs" dxfId="257" priority="61" operator="equal">
      <formula>"Y"</formula>
    </cfRule>
  </conditionalFormatting>
  <conditionalFormatting sqref="F49:F1048576">
    <cfRule type="cellIs" dxfId="256" priority="1" operator="equal">
      <formula>"Non-Billable"</formula>
    </cfRule>
    <cfRule type="cellIs" dxfId="255" priority="2" operator="equal">
      <formula>"Billable"</formula>
    </cfRule>
  </conditionalFormatting>
  <conditionalFormatting sqref="H1:H2 H4:H46 F47 H48:H50 H52:H64 H66:H1048576">
    <cfRule type="cellIs" dxfId="254" priority="58" operator="equal">
      <formula>"Not accpeting applications"</formula>
    </cfRule>
  </conditionalFormatting>
  <conditionalFormatting sqref="H1:H2 H4:H46 H48:H50 H52:H64 H66:H1048576">
    <cfRule type="cellIs" dxfId="253" priority="56" operator="equal">
      <formula>"Not Accepting Applications"</formula>
    </cfRule>
  </conditionalFormatting>
  <conditionalFormatting sqref="H4:H46">
    <cfRule type="cellIs" dxfId="252" priority="59" operator="equal">
      <formula>"Accepting Applications"</formula>
    </cfRule>
  </conditionalFormatting>
  <conditionalFormatting sqref="H52:H54">
    <cfRule type="cellIs" dxfId="251" priority="57" operator="equal">
      <formula>"Not accepting applications"</formula>
    </cfRule>
  </conditionalFormatting>
  <conditionalFormatting sqref="H56:H60">
    <cfRule type="cellIs" dxfId="250" priority="63" operator="equal">
      <formula>"Not Accepting Application"</formula>
    </cfRule>
    <cfRule type="cellIs" dxfId="249" priority="64" operator="equal">
      <formula>"Accepting Applications"</formula>
    </cfRule>
    <cfRule type="cellIs" dxfId="248" priority="65" operator="equal">
      <formula>"Y"</formula>
    </cfRule>
  </conditionalFormatting>
  <conditionalFormatting sqref="I1:I46 F47:G47 I49:I1048576">
    <cfRule type="cellIs" dxfId="247" priority="54" operator="equal">
      <formula>"Accepting Applications"</formula>
    </cfRule>
    <cfRule type="cellIs" dxfId="246" priority="55" operator="equal">
      <formula>"Not Accepting Applications"</formula>
    </cfRule>
  </conditionalFormatting>
  <conditionalFormatting sqref="I1:I46 G47 I49:I1048576">
    <cfRule type="cellIs" dxfId="245" priority="53" operator="equal">
      <formula>"Pending"</formula>
    </cfRule>
  </conditionalFormatting>
  <conditionalFormatting sqref="AG66:AG78">
    <cfRule type="cellIs" dxfId="244" priority="62" operator="equal">
      <formula>"Not Accepting Applications"</formula>
    </cfRule>
  </conditionalFormatting>
  <pageMargins left="0.7" right="0.7" top="0.75" bottom="0.75" header="0.3" footer="0.3"/>
  <pageSetup orientation="landscape" horizontalDpi="4294967295" verticalDpi="4294967295"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71F5C-1D0B-40D1-996E-AA6C95E5FDCA}">
  <sheetPr>
    <tabColor theme="2" tint="-9.9978637043366805E-2"/>
  </sheetPr>
  <dimension ref="A1:AC72"/>
  <sheetViews>
    <sheetView showGridLines="0" topLeftCell="A9" zoomScale="81" zoomScaleNormal="100" workbookViewId="0">
      <selection activeCell="F40" sqref="F40"/>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0.52500000000000002</v>
      </c>
      <c r="B1" s="37">
        <v>46034</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43" t="s">
        <v>59</v>
      </c>
      <c r="B4" s="44">
        <v>45937</v>
      </c>
      <c r="C4" s="45">
        <v>5</v>
      </c>
      <c r="D4" s="45">
        <v>1</v>
      </c>
      <c r="E4" s="43" t="s">
        <v>46</v>
      </c>
      <c r="F4" s="46" t="s">
        <v>131</v>
      </c>
      <c r="G4" s="43" t="s">
        <v>7</v>
      </c>
      <c r="H4" s="43" t="s">
        <v>23</v>
      </c>
      <c r="I4" s="43" t="s">
        <v>9</v>
      </c>
      <c r="J4" s="43" t="s">
        <v>49</v>
      </c>
      <c r="K4" s="43" t="s">
        <v>48</v>
      </c>
      <c r="AB4" s="2" t="s">
        <v>10</v>
      </c>
      <c r="AC4" s="2" t="s">
        <v>11</v>
      </c>
    </row>
    <row r="5" spans="1:29" s="2" customFormat="1" x14ac:dyDescent="0.3">
      <c r="A5" s="43" t="s">
        <v>62</v>
      </c>
      <c r="B5" s="44">
        <v>45919</v>
      </c>
      <c r="C5" s="45">
        <v>5</v>
      </c>
      <c r="D5" s="45">
        <v>4</v>
      </c>
      <c r="E5" s="43" t="s">
        <v>63</v>
      </c>
      <c r="F5" s="46" t="s">
        <v>131</v>
      </c>
      <c r="G5" s="43" t="s">
        <v>7</v>
      </c>
      <c r="H5" s="43" t="s">
        <v>64</v>
      </c>
      <c r="I5" s="43" t="s">
        <v>9</v>
      </c>
      <c r="J5" s="43" t="s">
        <v>65</v>
      </c>
      <c r="K5" s="43" t="s">
        <v>48</v>
      </c>
      <c r="AB5" s="2" t="s">
        <v>14</v>
      </c>
      <c r="AC5" s="2">
        <v>17</v>
      </c>
    </row>
    <row r="6" spans="1:29" s="2" customFormat="1" x14ac:dyDescent="0.3">
      <c r="A6" s="43" t="s">
        <v>69</v>
      </c>
      <c r="B6" s="44">
        <v>45957</v>
      </c>
      <c r="C6" s="45">
        <v>1</v>
      </c>
      <c r="D6" s="45">
        <v>0</v>
      </c>
      <c r="E6" s="43" t="s">
        <v>40</v>
      </c>
      <c r="F6" s="43" t="s">
        <v>98</v>
      </c>
      <c r="G6" s="43" t="s">
        <v>7</v>
      </c>
      <c r="H6" s="43" t="s">
        <v>17</v>
      </c>
      <c r="I6" s="43" t="s">
        <v>9</v>
      </c>
      <c r="J6" s="43" t="s">
        <v>70</v>
      </c>
      <c r="K6" s="43" t="s">
        <v>48</v>
      </c>
      <c r="N6" s="10"/>
      <c r="AB6" s="2" t="s">
        <v>15</v>
      </c>
      <c r="AC6" s="2">
        <v>3</v>
      </c>
    </row>
    <row r="7" spans="1:29" s="2" customFormat="1" x14ac:dyDescent="0.3">
      <c r="A7" s="43" t="s">
        <v>74</v>
      </c>
      <c r="B7" s="44">
        <v>46030</v>
      </c>
      <c r="C7" s="45">
        <v>1</v>
      </c>
      <c r="D7" s="45">
        <v>0</v>
      </c>
      <c r="E7" s="43" t="s">
        <v>75</v>
      </c>
      <c r="F7" s="43" t="s">
        <v>98</v>
      </c>
      <c r="G7" s="43" t="s">
        <v>7</v>
      </c>
      <c r="H7" s="43" t="s">
        <v>76</v>
      </c>
      <c r="I7" s="43" t="s">
        <v>20</v>
      </c>
      <c r="J7" s="43" t="s">
        <v>77</v>
      </c>
      <c r="K7" s="43" t="s">
        <v>13</v>
      </c>
      <c r="N7" s="10"/>
      <c r="V7" s="11"/>
      <c r="AB7" s="2" t="s">
        <v>16</v>
      </c>
      <c r="AC7" s="2">
        <v>4</v>
      </c>
    </row>
    <row r="8" spans="1:29" s="2" customFormat="1" x14ac:dyDescent="0.3">
      <c r="A8" s="43" t="s">
        <v>78</v>
      </c>
      <c r="B8" s="44">
        <v>45938</v>
      </c>
      <c r="C8" s="45">
        <v>3</v>
      </c>
      <c r="D8" s="45">
        <v>2</v>
      </c>
      <c r="E8" s="43" t="s">
        <v>46</v>
      </c>
      <c r="F8" s="46" t="s">
        <v>131</v>
      </c>
      <c r="G8" s="43" t="s">
        <v>7</v>
      </c>
      <c r="H8" s="43" t="s">
        <v>79</v>
      </c>
      <c r="I8" s="43" t="s">
        <v>20</v>
      </c>
      <c r="J8" s="43" t="s">
        <v>80</v>
      </c>
      <c r="K8" s="43" t="s">
        <v>13</v>
      </c>
      <c r="N8" s="10"/>
    </row>
    <row r="9" spans="1:29" s="2" customFormat="1" x14ac:dyDescent="0.3">
      <c r="A9" s="43" t="s">
        <v>167</v>
      </c>
      <c r="B9" s="44">
        <v>46027</v>
      </c>
      <c r="C9" s="45">
        <v>1</v>
      </c>
      <c r="D9" s="45">
        <v>0</v>
      </c>
      <c r="E9" s="43" t="s">
        <v>168</v>
      </c>
      <c r="F9" s="46" t="s">
        <v>131</v>
      </c>
      <c r="G9" s="43" t="s">
        <v>7</v>
      </c>
      <c r="H9" s="43" t="s">
        <v>148</v>
      </c>
      <c r="I9" s="43" t="s">
        <v>20</v>
      </c>
      <c r="J9" s="43" t="s">
        <v>105</v>
      </c>
      <c r="K9" s="43" t="s">
        <v>43</v>
      </c>
      <c r="N9" s="10"/>
    </row>
    <row r="10" spans="1:29" s="2" customFormat="1" x14ac:dyDescent="0.3">
      <c r="A10" s="43" t="s">
        <v>81</v>
      </c>
      <c r="B10" s="44">
        <v>45966</v>
      </c>
      <c r="C10" s="45">
        <v>2</v>
      </c>
      <c r="D10" s="45">
        <v>0</v>
      </c>
      <c r="E10" s="43" t="s">
        <v>41</v>
      </c>
      <c r="F10" s="43" t="s">
        <v>98</v>
      </c>
      <c r="G10" s="43" t="s">
        <v>7</v>
      </c>
      <c r="H10" s="43" t="s">
        <v>33</v>
      </c>
      <c r="I10" s="43" t="s">
        <v>9</v>
      </c>
      <c r="J10" s="43" t="s">
        <v>82</v>
      </c>
      <c r="K10" s="43" t="s">
        <v>22</v>
      </c>
      <c r="N10" s="10"/>
    </row>
    <row r="11" spans="1:29" s="2" customFormat="1" x14ac:dyDescent="0.3">
      <c r="A11" s="43" t="s">
        <v>85</v>
      </c>
      <c r="B11" s="44">
        <v>45971</v>
      </c>
      <c r="C11" s="45">
        <v>1</v>
      </c>
      <c r="D11" s="45">
        <v>0</v>
      </c>
      <c r="E11" s="43" t="s">
        <v>86</v>
      </c>
      <c r="F11" s="43" t="s">
        <v>98</v>
      </c>
      <c r="G11" s="43" t="s">
        <v>7</v>
      </c>
      <c r="H11" s="43" t="s">
        <v>23</v>
      </c>
      <c r="I11" s="43" t="s">
        <v>20</v>
      </c>
      <c r="J11" s="43" t="s">
        <v>42</v>
      </c>
      <c r="K11" s="43" t="s">
        <v>13</v>
      </c>
    </row>
    <row r="12" spans="1:29" s="2" customFormat="1" x14ac:dyDescent="0.3">
      <c r="A12" s="43" t="s">
        <v>89</v>
      </c>
      <c r="B12" s="44">
        <v>45982</v>
      </c>
      <c r="C12" s="45">
        <v>1</v>
      </c>
      <c r="D12" s="45">
        <v>0</v>
      </c>
      <c r="E12" s="43" t="s">
        <v>90</v>
      </c>
      <c r="F12" s="43" t="s">
        <v>98</v>
      </c>
      <c r="G12" s="43" t="s">
        <v>7</v>
      </c>
      <c r="H12" s="43" t="s">
        <v>64</v>
      </c>
      <c r="I12" s="43" t="s">
        <v>9</v>
      </c>
      <c r="J12" s="43" t="s">
        <v>26</v>
      </c>
      <c r="K12" s="43" t="s">
        <v>91</v>
      </c>
    </row>
    <row r="13" spans="1:29" s="2" customFormat="1" x14ac:dyDescent="0.3">
      <c r="A13" s="43" t="s">
        <v>92</v>
      </c>
      <c r="B13" s="44">
        <v>45971</v>
      </c>
      <c r="C13" s="45">
        <v>1</v>
      </c>
      <c r="D13" s="45">
        <v>0</v>
      </c>
      <c r="E13" s="43" t="s">
        <v>93</v>
      </c>
      <c r="F13" s="43" t="s">
        <v>98</v>
      </c>
      <c r="G13" s="43" t="s">
        <v>7</v>
      </c>
      <c r="H13" s="43" t="s">
        <v>94</v>
      </c>
      <c r="I13" s="43" t="s">
        <v>9</v>
      </c>
      <c r="J13" s="43" t="s">
        <v>95</v>
      </c>
      <c r="K13" s="43" t="s">
        <v>91</v>
      </c>
    </row>
    <row r="14" spans="1:29" s="2" customFormat="1" x14ac:dyDescent="0.3">
      <c r="A14" s="43" t="s">
        <v>96</v>
      </c>
      <c r="B14" s="44">
        <v>45974</v>
      </c>
      <c r="C14" s="45">
        <v>1</v>
      </c>
      <c r="D14" s="45">
        <v>0</v>
      </c>
      <c r="E14" s="43" t="s">
        <v>97</v>
      </c>
      <c r="F14" s="43" t="s">
        <v>98</v>
      </c>
      <c r="G14" s="43" t="s">
        <v>7</v>
      </c>
      <c r="H14" s="43" t="s">
        <v>23</v>
      </c>
      <c r="I14" s="43" t="s">
        <v>9</v>
      </c>
      <c r="J14" s="43" t="s">
        <v>95</v>
      </c>
      <c r="K14" s="43" t="s">
        <v>13</v>
      </c>
    </row>
    <row r="15" spans="1:29" s="2" customFormat="1" x14ac:dyDescent="0.3">
      <c r="A15" s="43" t="s">
        <v>99</v>
      </c>
      <c r="B15" s="44">
        <v>45972</v>
      </c>
      <c r="C15" s="45">
        <v>1</v>
      </c>
      <c r="D15" s="45">
        <v>0</v>
      </c>
      <c r="E15" s="43" t="s">
        <v>166</v>
      </c>
      <c r="F15" s="43" t="s">
        <v>98</v>
      </c>
      <c r="G15" s="43" t="s">
        <v>7</v>
      </c>
      <c r="H15" s="43" t="s">
        <v>44</v>
      </c>
      <c r="I15" s="43" t="s">
        <v>20</v>
      </c>
      <c r="J15" s="43" t="s">
        <v>166</v>
      </c>
      <c r="K15" s="43" t="s">
        <v>13</v>
      </c>
    </row>
    <row r="16" spans="1:29" s="2" customFormat="1" x14ac:dyDescent="0.3">
      <c r="A16" s="43" t="s">
        <v>106</v>
      </c>
      <c r="B16" s="44">
        <v>46030</v>
      </c>
      <c r="C16" s="45">
        <v>1</v>
      </c>
      <c r="D16" s="45">
        <v>0</v>
      </c>
      <c r="E16" s="43" t="s">
        <v>107</v>
      </c>
      <c r="F16" s="46" t="s">
        <v>131</v>
      </c>
      <c r="G16" s="43" t="s">
        <v>7</v>
      </c>
      <c r="H16" s="43" t="s">
        <v>18</v>
      </c>
      <c r="I16" s="43" t="s">
        <v>56</v>
      </c>
      <c r="J16" s="43" t="s">
        <v>50</v>
      </c>
      <c r="K16" s="43" t="s">
        <v>43</v>
      </c>
    </row>
    <row r="17" spans="1:11" s="2" customFormat="1" x14ac:dyDescent="0.3">
      <c r="A17" s="43" t="s">
        <v>108</v>
      </c>
      <c r="B17" s="44">
        <v>46027</v>
      </c>
      <c r="C17" s="45">
        <v>1</v>
      </c>
      <c r="D17" s="45">
        <v>0</v>
      </c>
      <c r="E17" s="43" t="s">
        <v>109</v>
      </c>
      <c r="F17" s="43" t="s">
        <v>98</v>
      </c>
      <c r="G17" s="43" t="s">
        <v>7</v>
      </c>
      <c r="H17" s="43" t="s">
        <v>110</v>
      </c>
      <c r="I17" s="43" t="s">
        <v>20</v>
      </c>
      <c r="J17" s="43" t="s">
        <v>117</v>
      </c>
      <c r="K17" s="43" t="s">
        <v>13</v>
      </c>
    </row>
    <row r="18" spans="1:11" s="2" customFormat="1" x14ac:dyDescent="0.3">
      <c r="A18" s="43" t="s">
        <v>112</v>
      </c>
      <c r="B18" s="44">
        <v>45982</v>
      </c>
      <c r="C18" s="45">
        <v>9</v>
      </c>
      <c r="D18" s="45">
        <v>2</v>
      </c>
      <c r="E18" s="43" t="s">
        <v>29</v>
      </c>
      <c r="F18" s="46" t="s">
        <v>131</v>
      </c>
      <c r="G18" s="43" t="s">
        <v>7</v>
      </c>
      <c r="H18" s="43" t="s">
        <v>113</v>
      </c>
      <c r="I18" s="43" t="s">
        <v>9</v>
      </c>
      <c r="J18" s="43" t="s">
        <v>65</v>
      </c>
      <c r="K18" s="43" t="s">
        <v>48</v>
      </c>
    </row>
    <row r="19" spans="1:11" s="2" customFormat="1" x14ac:dyDescent="0.3">
      <c r="A19" s="43" t="s">
        <v>114</v>
      </c>
      <c r="B19" s="44">
        <v>45993</v>
      </c>
      <c r="C19" s="45">
        <v>2</v>
      </c>
      <c r="D19" s="45">
        <v>0</v>
      </c>
      <c r="E19" s="43" t="s">
        <v>115</v>
      </c>
      <c r="F19" s="43" t="s">
        <v>98</v>
      </c>
      <c r="G19" s="43" t="s">
        <v>7</v>
      </c>
      <c r="H19" s="43" t="s">
        <v>17</v>
      </c>
      <c r="I19" s="43" t="s">
        <v>9</v>
      </c>
      <c r="J19" s="43" t="s">
        <v>70</v>
      </c>
      <c r="K19" s="43" t="s">
        <v>91</v>
      </c>
    </row>
    <row r="20" spans="1:11" s="2" customFormat="1" x14ac:dyDescent="0.3">
      <c r="A20" s="43" t="s">
        <v>116</v>
      </c>
      <c r="B20" s="44">
        <v>45995</v>
      </c>
      <c r="C20" s="45">
        <v>1</v>
      </c>
      <c r="D20" s="45">
        <v>0</v>
      </c>
      <c r="E20" s="43" t="s">
        <v>54</v>
      </c>
      <c r="F20" s="46" t="s">
        <v>131</v>
      </c>
      <c r="G20" s="43" t="s">
        <v>7</v>
      </c>
      <c r="H20" s="43" t="s">
        <v>47</v>
      </c>
      <c r="I20" s="43" t="s">
        <v>9</v>
      </c>
      <c r="J20" s="43" t="s">
        <v>117</v>
      </c>
      <c r="K20" s="43" t="s">
        <v>118</v>
      </c>
    </row>
    <row r="21" spans="1:11" s="2" customFormat="1" x14ac:dyDescent="0.3">
      <c r="A21" s="43" t="s">
        <v>119</v>
      </c>
      <c r="B21" s="44">
        <v>46013</v>
      </c>
      <c r="C21" s="45">
        <v>1</v>
      </c>
      <c r="D21" s="45">
        <v>0</v>
      </c>
      <c r="E21" s="43" t="s">
        <v>120</v>
      </c>
      <c r="F21" s="46" t="s">
        <v>131</v>
      </c>
      <c r="G21" s="43" t="s">
        <v>7</v>
      </c>
      <c r="H21" s="43" t="s">
        <v>18</v>
      </c>
      <c r="I21" s="43" t="s">
        <v>56</v>
      </c>
      <c r="J21" s="43" t="s">
        <v>121</v>
      </c>
      <c r="K21" s="43" t="s">
        <v>22</v>
      </c>
    </row>
    <row r="22" spans="1:11" s="2" customFormat="1" ht="15" customHeight="1" x14ac:dyDescent="0.3">
      <c r="A22" s="43" t="s">
        <v>122</v>
      </c>
      <c r="B22" s="44">
        <v>46031</v>
      </c>
      <c r="C22" s="45">
        <v>2</v>
      </c>
      <c r="D22" s="45">
        <v>0</v>
      </c>
      <c r="E22" s="43" t="s">
        <v>123</v>
      </c>
      <c r="F22" s="46" t="s">
        <v>131</v>
      </c>
      <c r="G22" s="43" t="s">
        <v>7</v>
      </c>
      <c r="H22" s="43" t="s">
        <v>23</v>
      </c>
      <c r="I22" s="43" t="s">
        <v>9</v>
      </c>
      <c r="J22" s="43" t="s">
        <v>121</v>
      </c>
      <c r="K22" s="43" t="s">
        <v>13</v>
      </c>
    </row>
    <row r="23" spans="1:11" s="2" customFormat="1" ht="13.95" customHeight="1" x14ac:dyDescent="0.3">
      <c r="A23" s="43" t="s">
        <v>125</v>
      </c>
      <c r="B23" s="44">
        <v>46006</v>
      </c>
      <c r="C23" s="45">
        <v>1</v>
      </c>
      <c r="D23" s="45">
        <v>0</v>
      </c>
      <c r="E23" s="43" t="s">
        <v>126</v>
      </c>
      <c r="F23" s="43" t="s">
        <v>98</v>
      </c>
      <c r="G23" s="43" t="s">
        <v>7</v>
      </c>
      <c r="H23" s="43" t="s">
        <v>18</v>
      </c>
      <c r="I23" s="43" t="s">
        <v>56</v>
      </c>
      <c r="J23" s="43" t="s">
        <v>127</v>
      </c>
      <c r="K23" s="43" t="s">
        <v>22</v>
      </c>
    </row>
    <row r="24" spans="1:11" s="2" customFormat="1" x14ac:dyDescent="0.3">
      <c r="A24" s="43" t="s">
        <v>128</v>
      </c>
      <c r="B24" s="44">
        <v>46013</v>
      </c>
      <c r="C24" s="45">
        <v>1</v>
      </c>
      <c r="D24" s="45">
        <v>0</v>
      </c>
      <c r="E24" s="43" t="s">
        <v>129</v>
      </c>
      <c r="F24" s="43" t="s">
        <v>98</v>
      </c>
      <c r="G24" s="43" t="s">
        <v>7</v>
      </c>
      <c r="H24" s="43" t="s">
        <v>64</v>
      </c>
      <c r="I24" s="43" t="s">
        <v>20</v>
      </c>
      <c r="J24" s="43" t="s">
        <v>65</v>
      </c>
      <c r="K24" s="43" t="s">
        <v>48</v>
      </c>
    </row>
    <row r="25" spans="1:11" s="2" customFormat="1" x14ac:dyDescent="0.3">
      <c r="A25" s="43" t="s">
        <v>130</v>
      </c>
      <c r="B25" s="44">
        <v>45995</v>
      </c>
      <c r="C25" s="45">
        <v>1</v>
      </c>
      <c r="D25" s="45">
        <v>0</v>
      </c>
      <c r="E25" s="43" t="s">
        <v>30</v>
      </c>
      <c r="F25" s="46" t="s">
        <v>131</v>
      </c>
      <c r="G25" s="43" t="s">
        <v>7</v>
      </c>
      <c r="H25" s="43" t="s">
        <v>8</v>
      </c>
      <c r="I25" s="43" t="s">
        <v>9</v>
      </c>
      <c r="J25" s="43" t="s">
        <v>12</v>
      </c>
      <c r="K25" s="43" t="s">
        <v>24</v>
      </c>
    </row>
    <row r="26" spans="1:11" s="2" customFormat="1" x14ac:dyDescent="0.3">
      <c r="A26" s="43" t="s">
        <v>135</v>
      </c>
      <c r="B26" s="44">
        <v>46020</v>
      </c>
      <c r="C26" s="45">
        <v>1</v>
      </c>
      <c r="D26" s="45">
        <v>0</v>
      </c>
      <c r="E26" s="43" t="s">
        <v>136</v>
      </c>
      <c r="F26" s="46" t="s">
        <v>131</v>
      </c>
      <c r="G26" s="43" t="s">
        <v>7</v>
      </c>
      <c r="H26" s="43" t="s">
        <v>23</v>
      </c>
      <c r="I26" s="43" t="s">
        <v>9</v>
      </c>
      <c r="J26" s="43" t="s">
        <v>137</v>
      </c>
      <c r="K26" s="43" t="s">
        <v>13</v>
      </c>
    </row>
    <row r="27" spans="1:11" s="2" customFormat="1" ht="15" hidden="1" customHeight="1" x14ac:dyDescent="0.3">
      <c r="A27" s="43" t="s">
        <v>138</v>
      </c>
      <c r="B27" s="44">
        <v>46006</v>
      </c>
      <c r="C27" s="45">
        <v>5</v>
      </c>
      <c r="D27" s="45">
        <v>0</v>
      </c>
      <c r="E27" s="43" t="s">
        <v>45</v>
      </c>
      <c r="F27" s="43" t="s">
        <v>189</v>
      </c>
      <c r="G27" s="43" t="s">
        <v>7</v>
      </c>
      <c r="H27" s="43" t="s">
        <v>139</v>
      </c>
      <c r="I27" s="43" t="s">
        <v>20</v>
      </c>
      <c r="J27" s="43" t="s">
        <v>140</v>
      </c>
      <c r="K27" s="43" t="s">
        <v>22</v>
      </c>
    </row>
    <row r="28" spans="1:11" s="2" customFormat="1" x14ac:dyDescent="0.3">
      <c r="A28" s="43" t="s">
        <v>141</v>
      </c>
      <c r="B28" s="44">
        <v>46006</v>
      </c>
      <c r="C28" s="45">
        <v>4</v>
      </c>
      <c r="D28" s="45">
        <v>0</v>
      </c>
      <c r="E28" s="43" t="s">
        <v>142</v>
      </c>
      <c r="F28" s="46" t="s">
        <v>131</v>
      </c>
      <c r="G28" s="43" t="s">
        <v>7</v>
      </c>
      <c r="H28" s="43" t="s">
        <v>139</v>
      </c>
      <c r="I28" s="43" t="s">
        <v>20</v>
      </c>
      <c r="J28" s="43" t="s">
        <v>140</v>
      </c>
      <c r="K28" s="43" t="s">
        <v>33</v>
      </c>
    </row>
    <row r="29" spans="1:11" s="2" customFormat="1" x14ac:dyDescent="0.3">
      <c r="A29" s="43" t="s">
        <v>143</v>
      </c>
      <c r="B29" s="44">
        <v>46014</v>
      </c>
      <c r="C29" s="45">
        <v>2</v>
      </c>
      <c r="D29" s="45">
        <v>1</v>
      </c>
      <c r="E29" s="43" t="s">
        <v>29</v>
      </c>
      <c r="F29" s="46" t="s">
        <v>131</v>
      </c>
      <c r="G29" s="43" t="s">
        <v>7</v>
      </c>
      <c r="H29" s="43" t="s">
        <v>18</v>
      </c>
      <c r="I29" s="43" t="s">
        <v>56</v>
      </c>
      <c r="J29" s="43" t="s">
        <v>140</v>
      </c>
      <c r="K29" s="43" t="s">
        <v>22</v>
      </c>
    </row>
    <row r="30" spans="1:11" s="2" customFormat="1" x14ac:dyDescent="0.3">
      <c r="A30" s="43" t="s">
        <v>144</v>
      </c>
      <c r="B30" s="44">
        <v>46030</v>
      </c>
      <c r="C30" s="45">
        <v>1</v>
      </c>
      <c r="D30" s="45">
        <v>0</v>
      </c>
      <c r="E30" s="43" t="s">
        <v>25</v>
      </c>
      <c r="F30" s="46" t="s">
        <v>131</v>
      </c>
      <c r="G30" s="43" t="s">
        <v>7</v>
      </c>
      <c r="H30" s="43" t="s">
        <v>18</v>
      </c>
      <c r="I30" s="43" t="s">
        <v>56</v>
      </c>
      <c r="J30" s="43" t="s">
        <v>145</v>
      </c>
      <c r="K30" s="43" t="s">
        <v>24</v>
      </c>
    </row>
    <row r="31" spans="1:11" s="2" customFormat="1" x14ac:dyDescent="0.3">
      <c r="A31" s="43" t="s">
        <v>146</v>
      </c>
      <c r="B31" s="44">
        <v>46013</v>
      </c>
      <c r="C31" s="45">
        <v>1</v>
      </c>
      <c r="D31" s="45">
        <v>0</v>
      </c>
      <c r="E31" s="43" t="s">
        <v>147</v>
      </c>
      <c r="F31" s="43" t="s">
        <v>98</v>
      </c>
      <c r="G31" s="43" t="s">
        <v>7</v>
      </c>
      <c r="H31" s="43" t="s">
        <v>148</v>
      </c>
      <c r="I31" s="43" t="s">
        <v>9</v>
      </c>
      <c r="J31" s="43" t="s">
        <v>149</v>
      </c>
      <c r="K31" s="43" t="s">
        <v>13</v>
      </c>
    </row>
    <row r="32" spans="1:11" s="2" customFormat="1" x14ac:dyDescent="0.3">
      <c r="A32" s="43" t="s">
        <v>150</v>
      </c>
      <c r="B32" s="44">
        <v>46013</v>
      </c>
      <c r="C32" s="45">
        <v>1</v>
      </c>
      <c r="D32" s="45">
        <v>0</v>
      </c>
      <c r="E32" s="43" t="s">
        <v>151</v>
      </c>
      <c r="F32" s="43" t="s">
        <v>98</v>
      </c>
      <c r="G32" s="43" t="s">
        <v>7</v>
      </c>
      <c r="H32" s="43" t="s">
        <v>148</v>
      </c>
      <c r="I32" s="43" t="s">
        <v>9</v>
      </c>
      <c r="J32" s="43" t="s">
        <v>149</v>
      </c>
      <c r="K32" s="43" t="s">
        <v>13</v>
      </c>
    </row>
    <row r="33" spans="1:19" s="2" customFormat="1" x14ac:dyDescent="0.3">
      <c r="A33" s="43" t="s">
        <v>152</v>
      </c>
      <c r="B33" s="44">
        <v>46006</v>
      </c>
      <c r="C33" s="45">
        <v>1</v>
      </c>
      <c r="D33" s="45">
        <v>0</v>
      </c>
      <c r="E33" s="43" t="s">
        <v>153</v>
      </c>
      <c r="F33" s="46" t="s">
        <v>131</v>
      </c>
      <c r="G33" s="43" t="s">
        <v>7</v>
      </c>
      <c r="H33" s="43"/>
      <c r="I33" s="43" t="s">
        <v>20</v>
      </c>
      <c r="J33" s="43" t="s">
        <v>77</v>
      </c>
      <c r="K33" s="43" t="s">
        <v>13</v>
      </c>
    </row>
    <row r="34" spans="1:19" s="2" customFormat="1" x14ac:dyDescent="0.3">
      <c r="A34" s="43" t="s">
        <v>154</v>
      </c>
      <c r="B34" s="44">
        <v>46015</v>
      </c>
      <c r="C34" s="45">
        <v>1</v>
      </c>
      <c r="D34" s="45">
        <v>0</v>
      </c>
      <c r="E34" s="43" t="s">
        <v>155</v>
      </c>
      <c r="F34" s="43" t="s">
        <v>98</v>
      </c>
      <c r="G34" s="43" t="s">
        <v>7</v>
      </c>
      <c r="H34" s="43" t="s">
        <v>47</v>
      </c>
      <c r="I34" s="43" t="s">
        <v>9</v>
      </c>
      <c r="J34" s="43" t="s">
        <v>156</v>
      </c>
      <c r="K34" s="43" t="s">
        <v>13</v>
      </c>
    </row>
    <row r="35" spans="1:19" s="2" customFormat="1" x14ac:dyDescent="0.3">
      <c r="A35" s="43" t="s">
        <v>157</v>
      </c>
      <c r="B35" s="44">
        <v>46020</v>
      </c>
      <c r="C35" s="45">
        <v>1</v>
      </c>
      <c r="D35" s="45">
        <v>0</v>
      </c>
      <c r="E35" s="43" t="s">
        <v>158</v>
      </c>
      <c r="F35" s="43" t="s">
        <v>98</v>
      </c>
      <c r="G35" s="43" t="s">
        <v>7</v>
      </c>
      <c r="H35" s="43" t="s">
        <v>17</v>
      </c>
      <c r="I35" s="43" t="s">
        <v>9</v>
      </c>
      <c r="J35" s="43" t="s">
        <v>159</v>
      </c>
      <c r="K35" s="43" t="s">
        <v>28</v>
      </c>
    </row>
    <row r="36" spans="1:19" s="2" customFormat="1" x14ac:dyDescent="0.3">
      <c r="A36" s="43" t="s">
        <v>160</v>
      </c>
      <c r="B36" s="44">
        <v>46020</v>
      </c>
      <c r="C36" s="45">
        <v>1</v>
      </c>
      <c r="D36" s="45">
        <v>0</v>
      </c>
      <c r="E36" s="43" t="s">
        <v>161</v>
      </c>
      <c r="F36" s="46" t="s">
        <v>131</v>
      </c>
      <c r="G36" s="43" t="s">
        <v>7</v>
      </c>
      <c r="H36" s="43" t="s">
        <v>18</v>
      </c>
      <c r="I36" s="43" t="s">
        <v>56</v>
      </c>
      <c r="J36" s="43" t="s">
        <v>137</v>
      </c>
      <c r="K36" s="43" t="s">
        <v>13</v>
      </c>
    </row>
    <row r="37" spans="1:19" s="2" customFormat="1" x14ac:dyDescent="0.3">
      <c r="A37" s="43" t="s">
        <v>162</v>
      </c>
      <c r="B37" s="44">
        <v>46019</v>
      </c>
      <c r="C37" s="45">
        <v>1</v>
      </c>
      <c r="D37" s="45">
        <v>0</v>
      </c>
      <c r="E37" s="43" t="s">
        <v>190</v>
      </c>
      <c r="F37" s="46" t="s">
        <v>131</v>
      </c>
      <c r="G37" s="43" t="s">
        <v>7</v>
      </c>
      <c r="H37" s="43" t="s">
        <v>33</v>
      </c>
      <c r="I37" s="43" t="s">
        <v>20</v>
      </c>
      <c r="J37" s="43" t="s">
        <v>95</v>
      </c>
      <c r="K37" s="43" t="s">
        <v>13</v>
      </c>
    </row>
    <row r="38" spans="1:19" s="2" customFormat="1" x14ac:dyDescent="0.3">
      <c r="A38" s="43" t="s">
        <v>163</v>
      </c>
      <c r="B38" s="44">
        <v>46030</v>
      </c>
      <c r="C38" s="45">
        <v>1</v>
      </c>
      <c r="D38" s="45">
        <v>0</v>
      </c>
      <c r="E38" s="43" t="s">
        <v>164</v>
      </c>
      <c r="F38" s="43" t="s">
        <v>98</v>
      </c>
      <c r="G38" s="43" t="s">
        <v>7</v>
      </c>
      <c r="H38" s="43" t="s">
        <v>17</v>
      </c>
      <c r="I38" s="43" t="s">
        <v>9</v>
      </c>
      <c r="J38" s="43" t="s">
        <v>165</v>
      </c>
      <c r="K38" s="43" t="s">
        <v>13</v>
      </c>
    </row>
    <row r="39" spans="1:19" s="2" customFormat="1" x14ac:dyDescent="0.3">
      <c r="A39" s="43" t="s">
        <v>178</v>
      </c>
      <c r="B39" s="44">
        <v>46031</v>
      </c>
      <c r="C39" s="45">
        <v>1</v>
      </c>
      <c r="D39" s="45">
        <v>0</v>
      </c>
      <c r="E39" s="43" t="s">
        <v>179</v>
      </c>
      <c r="F39" s="46" t="s">
        <v>131</v>
      </c>
      <c r="G39" s="43" t="s">
        <v>7</v>
      </c>
      <c r="H39" s="43" t="s">
        <v>18</v>
      </c>
      <c r="I39" s="43" t="s">
        <v>56</v>
      </c>
      <c r="J39" s="43" t="s">
        <v>180</v>
      </c>
      <c r="K39" s="43" t="s">
        <v>21</v>
      </c>
    </row>
    <row r="40" spans="1:19" s="2" customFormat="1" ht="14.25" customHeight="1" x14ac:dyDescent="0.3">
      <c r="A40" s="43" t="s">
        <v>181</v>
      </c>
      <c r="B40" s="44">
        <v>46028</v>
      </c>
      <c r="C40" s="45">
        <v>1</v>
      </c>
      <c r="D40" s="45">
        <v>0</v>
      </c>
      <c r="E40" s="43" t="s">
        <v>182</v>
      </c>
      <c r="F40" s="46" t="s">
        <v>131</v>
      </c>
      <c r="G40" s="43" t="s">
        <v>7</v>
      </c>
      <c r="H40" s="43" t="s">
        <v>183</v>
      </c>
      <c r="I40" s="43" t="s">
        <v>20</v>
      </c>
      <c r="J40" s="43" t="s">
        <v>191</v>
      </c>
      <c r="K40" s="43" t="s">
        <v>13</v>
      </c>
    </row>
    <row r="41" spans="1:19" s="2" customFormat="1" ht="14.25" customHeight="1" x14ac:dyDescent="0.3">
      <c r="A41" s="43" t="s">
        <v>188</v>
      </c>
      <c r="B41" s="44">
        <v>46031</v>
      </c>
      <c r="C41" s="45">
        <v>1</v>
      </c>
      <c r="D41" s="45">
        <v>0</v>
      </c>
      <c r="E41" s="43" t="s">
        <v>41</v>
      </c>
      <c r="F41" s="43" t="s">
        <v>98</v>
      </c>
      <c r="G41" s="43" t="s">
        <v>7</v>
      </c>
      <c r="H41" s="43" t="s">
        <v>33</v>
      </c>
      <c r="I41" s="43" t="s">
        <v>20</v>
      </c>
      <c r="J41" s="43" t="s">
        <v>82</v>
      </c>
      <c r="K41" s="43" t="s">
        <v>22</v>
      </c>
    </row>
    <row r="42" spans="1:19" ht="15" thickBot="1" x14ac:dyDescent="0.35">
      <c r="A42" s="40"/>
      <c r="B42" s="41"/>
      <c r="C42" s="42"/>
      <c r="D42" s="42"/>
      <c r="E42" s="40"/>
      <c r="F42" s="40"/>
      <c r="G42" s="40"/>
      <c r="H42" s="40"/>
      <c r="I42" s="40"/>
      <c r="J42" s="40"/>
      <c r="K42" s="40"/>
      <c r="P42" s="3"/>
      <c r="Q42" s="3"/>
      <c r="R42" s="4"/>
      <c r="S42" s="4"/>
    </row>
    <row r="43" spans="1:19" ht="15" thickBot="1" x14ac:dyDescent="0.35">
      <c r="B43" s="34" t="s">
        <v>31</v>
      </c>
      <c r="C43" s="12">
        <f>SUM(C4:C41)-SUM(D4:D41)</f>
        <v>57</v>
      </c>
      <c r="D43" s="29"/>
      <c r="F43" s="35" t="s">
        <v>57</v>
      </c>
      <c r="G43" s="36">
        <f>COUNTIF(I4:I41,"Pending")</f>
        <v>7</v>
      </c>
      <c r="I43" s="38" t="s">
        <v>58</v>
      </c>
      <c r="J43" s="39">
        <f>C43-G43</f>
        <v>50</v>
      </c>
    </row>
    <row r="44" spans="1:19" x14ac:dyDescent="0.3">
      <c r="G44" s="3"/>
      <c r="H44" s="4"/>
      <c r="I44" s="3"/>
    </row>
    <row r="45" spans="1:19" x14ac:dyDescent="0.3">
      <c r="D45" s="13"/>
    </row>
    <row r="46" spans="1:19" s="6" customFormat="1" ht="28.8" x14ac:dyDescent="0.3">
      <c r="A46" s="28" t="s">
        <v>0</v>
      </c>
      <c r="B46" s="28" t="s">
        <v>1</v>
      </c>
      <c r="C46" s="28" t="s">
        <v>2</v>
      </c>
      <c r="D46" s="28" t="s">
        <v>3</v>
      </c>
      <c r="E46" s="28" t="s">
        <v>4</v>
      </c>
      <c r="F46" s="28" t="s">
        <v>51</v>
      </c>
      <c r="G46" s="28" t="s">
        <v>52</v>
      </c>
      <c r="H46" s="28" t="s">
        <v>5</v>
      </c>
      <c r="I46" s="28" t="s">
        <v>53</v>
      </c>
      <c r="J46" s="28" t="s">
        <v>27</v>
      </c>
      <c r="K46" s="28" t="s">
        <v>6</v>
      </c>
    </row>
    <row r="47" spans="1:19" s="14" customFormat="1" x14ac:dyDescent="0.3">
      <c r="A47" s="43" t="s">
        <v>170</v>
      </c>
      <c r="B47" s="44">
        <v>46013</v>
      </c>
      <c r="C47" s="45">
        <v>1</v>
      </c>
      <c r="D47" s="45">
        <v>0</v>
      </c>
      <c r="E47" s="43" t="s">
        <v>171</v>
      </c>
      <c r="F47" s="46" t="s">
        <v>131</v>
      </c>
      <c r="G47" s="43" t="s">
        <v>32</v>
      </c>
      <c r="H47" s="43" t="s">
        <v>148</v>
      </c>
      <c r="I47" s="43" t="s">
        <v>20</v>
      </c>
      <c r="J47" s="43" t="s">
        <v>105</v>
      </c>
      <c r="K47" s="43" t="s">
        <v>19</v>
      </c>
    </row>
    <row r="48" spans="1:19" s="14" customFormat="1" hidden="1" x14ac:dyDescent="0.3">
      <c r="A48" s="7"/>
      <c r="B48" s="8"/>
      <c r="C48" s="9"/>
      <c r="D48" s="9"/>
      <c r="E48" s="7"/>
      <c r="F48" s="7"/>
      <c r="G48" s="7"/>
      <c r="H48" s="7"/>
      <c r="I48" s="7"/>
      <c r="J48" s="7"/>
      <c r="K48" s="7"/>
    </row>
    <row r="49" spans="1:11" s="14" customFormat="1" ht="15" hidden="1" customHeight="1" x14ac:dyDescent="0.3">
      <c r="A49" s="7"/>
      <c r="B49" s="8"/>
      <c r="C49" s="9"/>
      <c r="D49" s="9"/>
      <c r="E49" s="7"/>
      <c r="F49" s="7"/>
      <c r="G49" s="7"/>
      <c r="H49" s="7"/>
      <c r="I49" s="7"/>
      <c r="J49" s="7"/>
      <c r="K49" s="31"/>
    </row>
    <row r="50" spans="1:11" s="14" customFormat="1" ht="15" hidden="1" customHeight="1" x14ac:dyDescent="0.3">
      <c r="A50" s="15"/>
      <c r="B50" s="16"/>
      <c r="C50" s="17"/>
      <c r="D50" s="17"/>
      <c r="E50" s="15"/>
      <c r="F50" s="15"/>
      <c r="G50" s="15"/>
      <c r="H50" s="15"/>
      <c r="I50" s="15"/>
      <c r="J50" s="15"/>
      <c r="K50" s="31"/>
    </row>
    <row r="51" spans="1:11" s="18" customFormat="1" ht="15" hidden="1" customHeight="1" x14ac:dyDescent="0.3">
      <c r="A51" s="15"/>
      <c r="B51" s="16"/>
      <c r="C51" s="17"/>
      <c r="D51" s="17"/>
      <c r="E51" s="15"/>
      <c r="F51" s="15"/>
      <c r="G51" s="15"/>
      <c r="H51" s="15"/>
      <c r="I51" s="15"/>
      <c r="J51" s="15"/>
      <c r="K51" s="32"/>
    </row>
    <row r="52" spans="1:11" s="18" customFormat="1" ht="15" hidden="1" customHeight="1" x14ac:dyDescent="0.3">
      <c r="A52" s="19"/>
      <c r="B52" s="20"/>
      <c r="C52" s="21"/>
      <c r="D52" s="21"/>
      <c r="E52" s="19"/>
      <c r="F52" s="19"/>
      <c r="G52" s="19"/>
      <c r="H52" s="19"/>
      <c r="I52" s="19"/>
      <c r="J52" s="19"/>
      <c r="K52" s="32"/>
    </row>
    <row r="53" spans="1:11" s="18" customFormat="1" ht="15" hidden="1" customHeight="1" x14ac:dyDescent="0.3">
      <c r="A53" s="19"/>
      <c r="B53" s="20"/>
      <c r="C53" s="21"/>
      <c r="D53" s="21"/>
      <c r="E53" s="19"/>
      <c r="F53" s="19"/>
      <c r="G53" s="19"/>
      <c r="H53" s="19"/>
      <c r="I53" s="19"/>
      <c r="J53" s="19"/>
      <c r="K53" s="32"/>
    </row>
    <row r="54" spans="1:11" s="18" customFormat="1" ht="15" hidden="1" customHeight="1" x14ac:dyDescent="0.3">
      <c r="A54" s="19"/>
      <c r="B54" s="20"/>
      <c r="C54" s="21"/>
      <c r="D54" s="21"/>
      <c r="E54" s="19"/>
      <c r="F54" s="19"/>
      <c r="G54" s="19"/>
      <c r="H54" s="19"/>
      <c r="I54" s="19"/>
      <c r="J54" s="19"/>
      <c r="K54" s="32"/>
    </row>
    <row r="55" spans="1:11" s="18" customFormat="1" ht="15" hidden="1" customHeight="1" x14ac:dyDescent="0.3">
      <c r="A55" s="47"/>
      <c r="B55" s="48"/>
      <c r="C55" s="49"/>
      <c r="D55" s="49"/>
      <c r="E55" s="47"/>
      <c r="F55" s="47"/>
      <c r="G55" s="47"/>
      <c r="H55" s="47"/>
      <c r="I55" s="47"/>
      <c r="J55" s="47"/>
      <c r="K55" s="50"/>
    </row>
    <row r="56" spans="1:11" x14ac:dyDescent="0.3">
      <c r="A56" s="51"/>
      <c r="B56" s="52"/>
      <c r="C56" s="53"/>
      <c r="D56" s="53"/>
      <c r="E56" s="51"/>
      <c r="F56" s="51"/>
      <c r="G56" s="51"/>
      <c r="H56" s="51"/>
      <c r="I56" s="51"/>
      <c r="J56" s="51"/>
      <c r="K56" s="2"/>
    </row>
    <row r="57" spans="1:11" ht="15" thickBot="1" x14ac:dyDescent="0.35">
      <c r="B57" s="33" t="s">
        <v>34</v>
      </c>
      <c r="C57" s="30">
        <f>SUM(C47:C48)-SUM(D47:D48)</f>
        <v>1</v>
      </c>
      <c r="E57" s="2"/>
      <c r="F57" s="2"/>
      <c r="H57" s="2"/>
      <c r="J57" s="2"/>
      <c r="K57" s="2"/>
    </row>
    <row r="58" spans="1:11" x14ac:dyDescent="0.3">
      <c r="E58" s="2"/>
      <c r="F58" s="2"/>
      <c r="H58" s="2"/>
      <c r="J58" s="2"/>
      <c r="K58" s="2"/>
    </row>
    <row r="59" spans="1:11" x14ac:dyDescent="0.3">
      <c r="E59" s="2"/>
      <c r="F59" s="2"/>
      <c r="H59" s="2"/>
      <c r="J59" s="2"/>
      <c r="K59" s="2"/>
    </row>
    <row r="60" spans="1:11" s="2" customFormat="1" ht="34.35" customHeight="1" x14ac:dyDescent="0.3">
      <c r="A60" s="28" t="s">
        <v>0</v>
      </c>
      <c r="B60" s="28" t="s">
        <v>1</v>
      </c>
      <c r="C60" s="28" t="s">
        <v>2</v>
      </c>
      <c r="D60" s="28" t="s">
        <v>3</v>
      </c>
      <c r="E60" s="28" t="s">
        <v>4</v>
      </c>
      <c r="F60" s="28" t="s">
        <v>51</v>
      </c>
      <c r="G60" s="28" t="s">
        <v>52</v>
      </c>
      <c r="H60" s="28" t="s">
        <v>5</v>
      </c>
      <c r="I60" s="28" t="s">
        <v>53</v>
      </c>
      <c r="J60" s="28" t="s">
        <v>27</v>
      </c>
      <c r="K60" s="28" t="s">
        <v>6</v>
      </c>
    </row>
    <row r="61" spans="1:11" x14ac:dyDescent="0.3">
      <c r="A61" s="43" t="s">
        <v>100</v>
      </c>
      <c r="B61" s="44">
        <v>46027</v>
      </c>
      <c r="C61" s="45">
        <v>2</v>
      </c>
      <c r="D61" s="45">
        <v>0</v>
      </c>
      <c r="E61" s="43" t="s">
        <v>101</v>
      </c>
      <c r="F61" s="43" t="s">
        <v>98</v>
      </c>
      <c r="G61" s="43" t="s">
        <v>55</v>
      </c>
      <c r="H61" s="43" t="s">
        <v>102</v>
      </c>
      <c r="I61" s="43" t="s">
        <v>20</v>
      </c>
      <c r="J61" s="43" t="s">
        <v>103</v>
      </c>
      <c r="K61" s="43" t="s">
        <v>21</v>
      </c>
    </row>
    <row r="62" spans="1:11" x14ac:dyDescent="0.3">
      <c r="A62" s="43" t="s">
        <v>172</v>
      </c>
      <c r="B62" s="44">
        <v>46017</v>
      </c>
      <c r="C62" s="45">
        <v>1</v>
      </c>
      <c r="D62" s="45">
        <v>0</v>
      </c>
      <c r="E62" s="43" t="s">
        <v>173</v>
      </c>
      <c r="F62" s="43" t="s">
        <v>98</v>
      </c>
      <c r="G62" s="43" t="s">
        <v>55</v>
      </c>
      <c r="H62" s="43" t="s">
        <v>33</v>
      </c>
      <c r="I62" s="43" t="s">
        <v>20</v>
      </c>
      <c r="J62" s="43" t="s">
        <v>175</v>
      </c>
      <c r="K62" s="43" t="s">
        <v>176</v>
      </c>
    </row>
    <row r="63" spans="1:11" x14ac:dyDescent="0.3">
      <c r="A63" s="43" t="s">
        <v>184</v>
      </c>
      <c r="B63" s="44">
        <v>46028</v>
      </c>
      <c r="C63" s="45">
        <v>1</v>
      </c>
      <c r="D63" s="45">
        <v>0</v>
      </c>
      <c r="E63" s="43" t="s">
        <v>164</v>
      </c>
      <c r="F63" s="43" t="s">
        <v>98</v>
      </c>
      <c r="G63" s="43" t="s">
        <v>55</v>
      </c>
      <c r="H63" s="43" t="s">
        <v>185</v>
      </c>
      <c r="I63" s="43" t="s">
        <v>20</v>
      </c>
      <c r="J63" s="43" t="s">
        <v>186</v>
      </c>
      <c r="K63" s="43" t="s">
        <v>22</v>
      </c>
    </row>
    <row r="64" spans="1:11" x14ac:dyDescent="0.3">
      <c r="A64" s="43" t="s">
        <v>187</v>
      </c>
      <c r="B64" s="44">
        <v>46028</v>
      </c>
      <c r="C64" s="45">
        <v>2</v>
      </c>
      <c r="D64" s="45">
        <v>0</v>
      </c>
      <c r="E64" s="43" t="s">
        <v>168</v>
      </c>
      <c r="F64" s="43" t="s">
        <v>200</v>
      </c>
      <c r="G64" s="43" t="s">
        <v>55</v>
      </c>
      <c r="H64" s="43" t="s">
        <v>33</v>
      </c>
      <c r="I64" s="43" t="s">
        <v>20</v>
      </c>
      <c r="J64" s="43" t="s">
        <v>105</v>
      </c>
      <c r="K64" s="43" t="s">
        <v>43</v>
      </c>
    </row>
    <row r="65" spans="1:29" x14ac:dyDescent="0.3">
      <c r="A65" s="43" t="s">
        <v>192</v>
      </c>
      <c r="B65" s="44">
        <v>46030</v>
      </c>
      <c r="C65" s="45">
        <v>2</v>
      </c>
      <c r="D65" s="45">
        <v>0</v>
      </c>
      <c r="E65" s="43" t="s">
        <v>193</v>
      </c>
      <c r="F65" s="43"/>
      <c r="G65" s="43" t="s">
        <v>55</v>
      </c>
      <c r="H65" s="43" t="s">
        <v>33</v>
      </c>
      <c r="I65" s="43" t="s">
        <v>20</v>
      </c>
      <c r="J65" s="43" t="s">
        <v>95</v>
      </c>
      <c r="K65" s="43" t="s">
        <v>194</v>
      </c>
    </row>
    <row r="66" spans="1:29" x14ac:dyDescent="0.3">
      <c r="A66" s="43" t="s">
        <v>195</v>
      </c>
      <c r="B66" s="44">
        <v>46031</v>
      </c>
      <c r="C66" s="45">
        <v>1</v>
      </c>
      <c r="D66" s="45">
        <v>0</v>
      </c>
      <c r="E66" s="43" t="s">
        <v>46</v>
      </c>
      <c r="F66" s="43" t="s">
        <v>200</v>
      </c>
      <c r="G66" s="43" t="s">
        <v>55</v>
      </c>
      <c r="H66" s="43" t="s">
        <v>139</v>
      </c>
      <c r="I66" s="43" t="s">
        <v>20</v>
      </c>
      <c r="J66" s="43" t="s">
        <v>80</v>
      </c>
      <c r="K66" s="43" t="s">
        <v>196</v>
      </c>
    </row>
    <row r="67" spans="1:29" s="2" customFormat="1" x14ac:dyDescent="0.3">
      <c r="A67" s="43" t="s">
        <v>197</v>
      </c>
      <c r="B67" s="44">
        <v>46031</v>
      </c>
      <c r="C67" s="45">
        <v>1</v>
      </c>
      <c r="D67" s="45">
        <v>0</v>
      </c>
      <c r="E67" s="43" t="s">
        <v>93</v>
      </c>
      <c r="F67" s="43" t="s">
        <v>200</v>
      </c>
      <c r="G67" s="43" t="s">
        <v>55</v>
      </c>
      <c r="H67" s="43" t="s">
        <v>33</v>
      </c>
      <c r="I67" s="43" t="s">
        <v>20</v>
      </c>
      <c r="J67" s="43" t="s">
        <v>140</v>
      </c>
      <c r="K67" s="43" t="s">
        <v>22</v>
      </c>
      <c r="L67" s="4"/>
      <c r="M67" s="4"/>
      <c r="N67" s="4"/>
      <c r="O67" s="4"/>
      <c r="P67" s="4"/>
      <c r="Q67" s="4"/>
      <c r="R67" s="3"/>
      <c r="S67" s="3"/>
      <c r="T67" s="4"/>
      <c r="U67" s="4"/>
      <c r="V67" s="4"/>
      <c r="W67" s="4"/>
      <c r="X67" s="4"/>
      <c r="Y67" s="4"/>
      <c r="Z67" s="4"/>
      <c r="AA67" s="4"/>
      <c r="AB67" s="4"/>
      <c r="AC67" s="4"/>
    </row>
    <row r="68" spans="1:29" s="2" customFormat="1" x14ac:dyDescent="0.3">
      <c r="A68" s="43" t="s">
        <v>198</v>
      </c>
      <c r="B68" s="44">
        <v>46031</v>
      </c>
      <c r="C68" s="45">
        <v>1</v>
      </c>
      <c r="D68" s="45">
        <v>0</v>
      </c>
      <c r="E68" s="43" t="s">
        <v>199</v>
      </c>
      <c r="F68" s="43" t="s">
        <v>200</v>
      </c>
      <c r="G68" s="43" t="s">
        <v>55</v>
      </c>
      <c r="H68" s="43" t="s">
        <v>33</v>
      </c>
      <c r="I68" s="43" t="s">
        <v>20</v>
      </c>
      <c r="J68" s="43" t="s">
        <v>12</v>
      </c>
      <c r="K68" s="43" t="s">
        <v>24</v>
      </c>
      <c r="L68" s="4"/>
      <c r="M68" s="4"/>
      <c r="N68" s="4"/>
      <c r="O68" s="4"/>
      <c r="P68" s="4"/>
      <c r="Q68" s="4"/>
      <c r="R68" s="3"/>
      <c r="S68" s="3"/>
      <c r="T68" s="4"/>
      <c r="U68" s="4"/>
      <c r="V68" s="4"/>
      <c r="W68" s="4"/>
      <c r="X68" s="4"/>
      <c r="Y68" s="4"/>
      <c r="Z68" s="4"/>
      <c r="AA68" s="4"/>
      <c r="AB68" s="4"/>
      <c r="AC68" s="4"/>
    </row>
    <row r="69" spans="1:29" s="2" customFormat="1" hidden="1" x14ac:dyDescent="0.3">
      <c r="E69" s="3"/>
      <c r="F69" s="3"/>
      <c r="G69" s="5"/>
      <c r="H69" s="18"/>
      <c r="J69" s="3"/>
      <c r="K69" s="3"/>
      <c r="L69" s="4"/>
      <c r="M69" s="4"/>
      <c r="N69" s="4"/>
      <c r="O69" s="4"/>
      <c r="P69" s="4"/>
      <c r="Q69" s="4"/>
      <c r="R69" s="3"/>
      <c r="S69" s="3"/>
      <c r="T69" s="4"/>
      <c r="U69" s="4"/>
      <c r="V69" s="4"/>
      <c r="W69" s="4"/>
      <c r="X69" s="4"/>
      <c r="Y69" s="4"/>
      <c r="Z69" s="4"/>
      <c r="AA69" s="4"/>
      <c r="AB69" s="4"/>
      <c r="AC69" s="4"/>
    </row>
    <row r="70" spans="1:29" s="2" customFormat="1" hidden="1" x14ac:dyDescent="0.3">
      <c r="E70" s="3"/>
      <c r="F70" s="3"/>
      <c r="G70" s="5"/>
      <c r="H70" s="18"/>
      <c r="J70" s="3"/>
      <c r="K70" s="3"/>
      <c r="L70" s="4"/>
      <c r="M70" s="4"/>
      <c r="N70" s="4"/>
      <c r="O70" s="4"/>
      <c r="P70" s="4"/>
      <c r="Q70" s="4"/>
      <c r="R70" s="3"/>
      <c r="S70" s="3"/>
      <c r="T70" s="4"/>
      <c r="U70" s="4"/>
      <c r="V70" s="4"/>
      <c r="W70" s="4"/>
      <c r="X70" s="4"/>
      <c r="Y70" s="4"/>
      <c r="Z70" s="4"/>
      <c r="AA70" s="4"/>
      <c r="AB70" s="4"/>
      <c r="AC70" s="4"/>
    </row>
    <row r="71" spans="1:29" s="2" customFormat="1" ht="15" thickBot="1" x14ac:dyDescent="0.35">
      <c r="E71" s="3"/>
      <c r="F71" s="3"/>
      <c r="G71" s="5"/>
      <c r="H71" s="18"/>
      <c r="J71" s="3"/>
      <c r="K71" s="3"/>
      <c r="L71" s="4"/>
      <c r="M71" s="4"/>
      <c r="N71" s="4"/>
      <c r="O71" s="4"/>
      <c r="P71" s="4"/>
      <c r="Q71" s="4"/>
      <c r="R71" s="3"/>
      <c r="S71" s="3"/>
      <c r="T71" s="4"/>
      <c r="U71" s="4"/>
      <c r="V71" s="4"/>
      <c r="W71" s="4"/>
      <c r="X71" s="4"/>
      <c r="Y71" s="4"/>
      <c r="Z71" s="4"/>
      <c r="AA71" s="4"/>
      <c r="AB71" s="4"/>
      <c r="AC71" s="4"/>
    </row>
    <row r="72" spans="1:29" s="2" customFormat="1" ht="15" thickBot="1" x14ac:dyDescent="0.35">
      <c r="B72" s="38" t="s">
        <v>35</v>
      </c>
      <c r="C72" s="22">
        <f>SUM(C61:C68)-SUM(D61:D68)</f>
        <v>11</v>
      </c>
      <c r="E72" s="3"/>
      <c r="F72" s="3"/>
      <c r="G72" s="5"/>
      <c r="H72" s="18"/>
      <c r="J72" s="3"/>
      <c r="K72" s="3"/>
      <c r="L72" s="4"/>
      <c r="M72" s="4"/>
      <c r="N72" s="4"/>
      <c r="O72" s="4"/>
      <c r="P72" s="4"/>
      <c r="Q72" s="4"/>
      <c r="R72" s="3"/>
      <c r="S72" s="3"/>
      <c r="T72" s="4"/>
      <c r="U72" s="4"/>
      <c r="V72" s="4"/>
      <c r="W72" s="4"/>
      <c r="X72" s="4"/>
      <c r="Y72" s="4"/>
      <c r="Z72" s="4"/>
      <c r="AA72" s="4"/>
      <c r="AB72" s="4"/>
      <c r="AC72" s="4"/>
    </row>
  </sheetData>
  <autoFilter ref="A3:J41" xr:uid="{6E392464-0CD5-4B6C-9B5A-A4EF4B03C567}"/>
  <conditionalFormatting sqref="F1:F41">
    <cfRule type="cellIs" dxfId="243" priority="7" operator="equal">
      <formula>"Non-Billable"</formula>
    </cfRule>
    <cfRule type="cellIs" dxfId="242" priority="8" operator="equal">
      <formula>"Billable"</formula>
    </cfRule>
  </conditionalFormatting>
  <conditionalFormatting sqref="F42">
    <cfRule type="cellIs" dxfId="241" priority="60" operator="equal">
      <formula>"Not Accepting Application"</formula>
    </cfRule>
    <cfRule type="cellIs" dxfId="240" priority="61" operator="equal">
      <formula>"Y"</formula>
    </cfRule>
  </conditionalFormatting>
  <conditionalFormatting sqref="F44:F1048576">
    <cfRule type="cellIs" dxfId="239" priority="1" operator="equal">
      <formula>"Non-Billable"</formula>
    </cfRule>
    <cfRule type="cellIs" dxfId="238" priority="2" operator="equal">
      <formula>"Billable"</formula>
    </cfRule>
  </conditionalFormatting>
  <conditionalFormatting sqref="H1:H2 H4:H41 F42 H43:H45 H47:H59 H61:H1048576">
    <cfRule type="cellIs" dxfId="237" priority="58" operator="equal">
      <formula>"Not accpeting applications"</formula>
    </cfRule>
  </conditionalFormatting>
  <conditionalFormatting sqref="H1:H2 H4:H41 H43:H45 H47:H59 H61:H1048576">
    <cfRule type="cellIs" dxfId="236" priority="56" operator="equal">
      <formula>"Not Accepting Applications"</formula>
    </cfRule>
  </conditionalFormatting>
  <conditionalFormatting sqref="H4:H41">
    <cfRule type="cellIs" dxfId="235" priority="59" operator="equal">
      <formula>"Accepting Applications"</formula>
    </cfRule>
  </conditionalFormatting>
  <conditionalFormatting sqref="H47:H49">
    <cfRule type="cellIs" dxfId="234" priority="57" operator="equal">
      <formula>"Not accepting applications"</formula>
    </cfRule>
  </conditionalFormatting>
  <conditionalFormatting sqref="H51:H55">
    <cfRule type="cellIs" dxfId="233" priority="63" operator="equal">
      <formula>"Not Accepting Application"</formula>
    </cfRule>
    <cfRule type="cellIs" dxfId="232" priority="64" operator="equal">
      <formula>"Accepting Applications"</formula>
    </cfRule>
    <cfRule type="cellIs" dxfId="231" priority="65" operator="equal">
      <formula>"Y"</formula>
    </cfRule>
  </conditionalFormatting>
  <conditionalFormatting sqref="I1:I41 F42:G42 I44:I1048576">
    <cfRule type="cellIs" dxfId="230" priority="54" operator="equal">
      <formula>"Accepting Applications"</formula>
    </cfRule>
    <cfRule type="cellIs" dxfId="229" priority="55" operator="equal">
      <formula>"Not Accepting Applications"</formula>
    </cfRule>
  </conditionalFormatting>
  <conditionalFormatting sqref="I1:I41 G42 I44:I1048576">
    <cfRule type="cellIs" dxfId="228" priority="53" operator="equal">
      <formula>"Pending"</formula>
    </cfRule>
  </conditionalFormatting>
  <conditionalFormatting sqref="AG61:AG73">
    <cfRule type="cellIs" dxfId="227" priority="62" operator="equal">
      <formula>"Not Accepting Applications"</formula>
    </cfRule>
  </conditionalFormatting>
  <pageMargins left="0.7" right="0.7" top="0.75" bottom="0.75" header="0.3" footer="0.3"/>
  <pageSetup orientation="landscape" horizontalDpi="4294967295" verticalDpi="4294967295"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17D43-C7F5-447F-9A59-43427085A55A}">
  <sheetPr>
    <tabColor theme="2" tint="-9.9978637043366805E-2"/>
  </sheetPr>
  <dimension ref="A1:AC71"/>
  <sheetViews>
    <sheetView showGridLines="0" zoomScale="81" zoomScaleNormal="100" workbookViewId="0">
      <selection activeCell="J41" sqref="J41"/>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0.52500000000000002</v>
      </c>
      <c r="B1" s="37">
        <v>46030</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43" t="s">
        <v>59</v>
      </c>
      <c r="B4" s="44">
        <v>45937</v>
      </c>
      <c r="C4" s="45">
        <v>5</v>
      </c>
      <c r="D4" s="45">
        <v>1</v>
      </c>
      <c r="E4" s="43" t="s">
        <v>46</v>
      </c>
      <c r="F4" s="46" t="s">
        <v>131</v>
      </c>
      <c r="G4" s="43" t="s">
        <v>7</v>
      </c>
      <c r="H4" s="43" t="s">
        <v>23</v>
      </c>
      <c r="I4" s="43" t="s">
        <v>9</v>
      </c>
      <c r="J4" s="43" t="s">
        <v>49</v>
      </c>
      <c r="K4" s="43" t="s">
        <v>48</v>
      </c>
      <c r="AB4" s="2" t="s">
        <v>10</v>
      </c>
      <c r="AC4" s="2" t="s">
        <v>11</v>
      </c>
    </row>
    <row r="5" spans="1:29" s="2" customFormat="1" x14ac:dyDescent="0.3">
      <c r="A5" s="43" t="s">
        <v>60</v>
      </c>
      <c r="B5" s="44">
        <v>45919</v>
      </c>
      <c r="C5" s="45">
        <v>1</v>
      </c>
      <c r="D5" s="45">
        <v>0</v>
      </c>
      <c r="E5" s="43" t="s">
        <v>29</v>
      </c>
      <c r="F5" s="46" t="s">
        <v>131</v>
      </c>
      <c r="G5" s="43" t="s">
        <v>7</v>
      </c>
      <c r="H5" s="43" t="s">
        <v>18</v>
      </c>
      <c r="I5" s="43" t="s">
        <v>56</v>
      </c>
      <c r="J5" s="43" t="s">
        <v>61</v>
      </c>
      <c r="K5" s="43" t="s">
        <v>48</v>
      </c>
      <c r="AB5" s="2" t="s">
        <v>14</v>
      </c>
      <c r="AC5" s="2">
        <v>17</v>
      </c>
    </row>
    <row r="6" spans="1:29" s="2" customFormat="1" x14ac:dyDescent="0.3">
      <c r="A6" s="43" t="s">
        <v>62</v>
      </c>
      <c r="B6" s="44">
        <v>45919</v>
      </c>
      <c r="C6" s="45">
        <v>5</v>
      </c>
      <c r="D6" s="45">
        <v>4</v>
      </c>
      <c r="E6" s="43" t="s">
        <v>63</v>
      </c>
      <c r="F6" s="46" t="s">
        <v>131</v>
      </c>
      <c r="G6" s="43" t="s">
        <v>7</v>
      </c>
      <c r="H6" s="43" t="s">
        <v>64</v>
      </c>
      <c r="I6" s="43" t="s">
        <v>9</v>
      </c>
      <c r="J6" s="43" t="s">
        <v>65</v>
      </c>
      <c r="K6" s="43" t="s">
        <v>48</v>
      </c>
      <c r="N6" s="10"/>
      <c r="AB6" s="2" t="s">
        <v>15</v>
      </c>
      <c r="AC6" s="2">
        <v>3</v>
      </c>
    </row>
    <row r="7" spans="1:29" s="2" customFormat="1" x14ac:dyDescent="0.3">
      <c r="A7" s="43" t="s">
        <v>69</v>
      </c>
      <c r="B7" s="44">
        <v>45957</v>
      </c>
      <c r="C7" s="45">
        <v>1</v>
      </c>
      <c r="D7" s="45">
        <v>0</v>
      </c>
      <c r="E7" s="43" t="s">
        <v>40</v>
      </c>
      <c r="F7" s="43" t="s">
        <v>98</v>
      </c>
      <c r="G7" s="43" t="s">
        <v>7</v>
      </c>
      <c r="H7" s="43" t="s">
        <v>17</v>
      </c>
      <c r="I7" s="43" t="s">
        <v>9</v>
      </c>
      <c r="J7" s="43" t="s">
        <v>70</v>
      </c>
      <c r="K7" s="43" t="s">
        <v>48</v>
      </c>
      <c r="N7" s="10"/>
      <c r="V7" s="11"/>
      <c r="AB7" s="2" t="s">
        <v>16</v>
      </c>
      <c r="AC7" s="2">
        <v>4</v>
      </c>
    </row>
    <row r="8" spans="1:29" s="2" customFormat="1" x14ac:dyDescent="0.3">
      <c r="A8" s="43" t="s">
        <v>71</v>
      </c>
      <c r="B8" s="44">
        <v>46013</v>
      </c>
      <c r="C8" s="45">
        <v>1</v>
      </c>
      <c r="D8" s="45">
        <v>0</v>
      </c>
      <c r="E8" s="43" t="s">
        <v>72</v>
      </c>
      <c r="F8" s="43" t="s">
        <v>98</v>
      </c>
      <c r="G8" s="43" t="s">
        <v>7</v>
      </c>
      <c r="H8" s="43" t="s">
        <v>18</v>
      </c>
      <c r="I8" s="43" t="s">
        <v>56</v>
      </c>
      <c r="J8" s="43" t="s">
        <v>73</v>
      </c>
      <c r="K8" s="43" t="s">
        <v>13</v>
      </c>
      <c r="N8" s="10"/>
    </row>
    <row r="9" spans="1:29" s="2" customFormat="1" x14ac:dyDescent="0.3">
      <c r="A9" s="43" t="s">
        <v>74</v>
      </c>
      <c r="B9" s="44">
        <v>45950</v>
      </c>
      <c r="C9" s="45">
        <v>1</v>
      </c>
      <c r="D9" s="45">
        <v>0</v>
      </c>
      <c r="E9" s="43" t="s">
        <v>75</v>
      </c>
      <c r="F9" s="43" t="s">
        <v>98</v>
      </c>
      <c r="G9" s="43" t="s">
        <v>7</v>
      </c>
      <c r="H9" s="43" t="s">
        <v>76</v>
      </c>
      <c r="I9" s="43" t="s">
        <v>20</v>
      </c>
      <c r="J9" s="43" t="s">
        <v>77</v>
      </c>
      <c r="K9" s="43" t="s">
        <v>13</v>
      </c>
      <c r="N9" s="10"/>
    </row>
    <row r="10" spans="1:29" s="2" customFormat="1" x14ac:dyDescent="0.3">
      <c r="A10" s="43" t="s">
        <v>78</v>
      </c>
      <c r="B10" s="44">
        <v>45938</v>
      </c>
      <c r="C10" s="45">
        <v>3</v>
      </c>
      <c r="D10" s="45">
        <v>2</v>
      </c>
      <c r="E10" s="43" t="s">
        <v>46</v>
      </c>
      <c r="F10" s="46" t="s">
        <v>131</v>
      </c>
      <c r="G10" s="43" t="s">
        <v>7</v>
      </c>
      <c r="H10" s="43" t="s">
        <v>79</v>
      </c>
      <c r="I10" s="43" t="s">
        <v>20</v>
      </c>
      <c r="J10" s="43" t="s">
        <v>80</v>
      </c>
      <c r="K10" s="43" t="s">
        <v>13</v>
      </c>
      <c r="N10" s="10"/>
    </row>
    <row r="11" spans="1:29" s="2" customFormat="1" x14ac:dyDescent="0.3">
      <c r="A11" s="43" t="s">
        <v>167</v>
      </c>
      <c r="B11" s="44">
        <v>46027</v>
      </c>
      <c r="C11" s="45">
        <v>1</v>
      </c>
      <c r="D11" s="45">
        <v>0</v>
      </c>
      <c r="E11" s="43" t="s">
        <v>168</v>
      </c>
      <c r="F11" s="46" t="s">
        <v>131</v>
      </c>
      <c r="G11" s="43" t="s">
        <v>7</v>
      </c>
      <c r="H11" s="43" t="s">
        <v>148</v>
      </c>
      <c r="I11" s="43" t="s">
        <v>20</v>
      </c>
      <c r="J11" s="43" t="s">
        <v>105</v>
      </c>
      <c r="K11" s="43" t="s">
        <v>43</v>
      </c>
    </row>
    <row r="12" spans="1:29" s="2" customFormat="1" x14ac:dyDescent="0.3">
      <c r="A12" s="43" t="s">
        <v>81</v>
      </c>
      <c r="B12" s="44">
        <v>45966</v>
      </c>
      <c r="C12" s="45">
        <v>2</v>
      </c>
      <c r="D12" s="45">
        <v>0</v>
      </c>
      <c r="E12" s="43" t="s">
        <v>41</v>
      </c>
      <c r="F12" s="43" t="s">
        <v>98</v>
      </c>
      <c r="G12" s="43" t="s">
        <v>7</v>
      </c>
      <c r="H12" s="43" t="s">
        <v>33</v>
      </c>
      <c r="I12" s="43" t="s">
        <v>20</v>
      </c>
      <c r="J12" s="43" t="s">
        <v>82</v>
      </c>
      <c r="K12" s="43" t="s">
        <v>22</v>
      </c>
    </row>
    <row r="13" spans="1:29" s="2" customFormat="1" x14ac:dyDescent="0.3">
      <c r="A13" s="43" t="s">
        <v>85</v>
      </c>
      <c r="B13" s="44">
        <v>45971</v>
      </c>
      <c r="C13" s="45">
        <v>1</v>
      </c>
      <c r="D13" s="45">
        <v>0</v>
      </c>
      <c r="E13" s="43" t="s">
        <v>86</v>
      </c>
      <c r="F13" s="43" t="s">
        <v>98</v>
      </c>
      <c r="G13" s="43" t="s">
        <v>7</v>
      </c>
      <c r="H13" s="43" t="s">
        <v>23</v>
      </c>
      <c r="I13" s="43" t="s">
        <v>20</v>
      </c>
      <c r="J13" s="43" t="s">
        <v>42</v>
      </c>
      <c r="K13" s="43" t="s">
        <v>13</v>
      </c>
    </row>
    <row r="14" spans="1:29" s="2" customFormat="1" x14ac:dyDescent="0.3">
      <c r="A14" s="43" t="s">
        <v>87</v>
      </c>
      <c r="B14" s="44">
        <v>45971</v>
      </c>
      <c r="C14" s="45">
        <v>1</v>
      </c>
      <c r="D14" s="45">
        <v>0</v>
      </c>
      <c r="E14" s="43" t="s">
        <v>88</v>
      </c>
      <c r="F14" s="46" t="s">
        <v>131</v>
      </c>
      <c r="G14" s="43" t="s">
        <v>7</v>
      </c>
      <c r="H14" s="43" t="s">
        <v>18</v>
      </c>
      <c r="I14" s="43" t="s">
        <v>56</v>
      </c>
      <c r="J14" s="43" t="s">
        <v>39</v>
      </c>
      <c r="K14" s="43" t="s">
        <v>13</v>
      </c>
    </row>
    <row r="15" spans="1:29" s="2" customFormat="1" x14ac:dyDescent="0.3">
      <c r="A15" s="43" t="s">
        <v>89</v>
      </c>
      <c r="B15" s="44">
        <v>45982</v>
      </c>
      <c r="C15" s="45">
        <v>1</v>
      </c>
      <c r="D15" s="45">
        <v>0</v>
      </c>
      <c r="E15" s="43" t="s">
        <v>90</v>
      </c>
      <c r="F15" s="43" t="s">
        <v>98</v>
      </c>
      <c r="G15" s="43" t="s">
        <v>7</v>
      </c>
      <c r="H15" s="43" t="s">
        <v>64</v>
      </c>
      <c r="I15" s="43" t="s">
        <v>9</v>
      </c>
      <c r="J15" s="43" t="s">
        <v>26</v>
      </c>
      <c r="K15" s="43" t="s">
        <v>91</v>
      </c>
    </row>
    <row r="16" spans="1:29" s="2" customFormat="1" x14ac:dyDescent="0.3">
      <c r="A16" s="43" t="s">
        <v>92</v>
      </c>
      <c r="B16" s="44">
        <v>45971</v>
      </c>
      <c r="C16" s="45">
        <v>1</v>
      </c>
      <c r="D16" s="45">
        <v>0</v>
      </c>
      <c r="E16" s="43" t="s">
        <v>93</v>
      </c>
      <c r="F16" s="43" t="s">
        <v>98</v>
      </c>
      <c r="G16" s="43" t="s">
        <v>7</v>
      </c>
      <c r="H16" s="43" t="s">
        <v>94</v>
      </c>
      <c r="I16" s="43" t="s">
        <v>9</v>
      </c>
      <c r="J16" s="43" t="s">
        <v>95</v>
      </c>
      <c r="K16" s="43" t="s">
        <v>91</v>
      </c>
    </row>
    <row r="17" spans="1:11" s="2" customFormat="1" x14ac:dyDescent="0.3">
      <c r="A17" s="43" t="s">
        <v>96</v>
      </c>
      <c r="B17" s="44">
        <v>45974</v>
      </c>
      <c r="C17" s="45">
        <v>1</v>
      </c>
      <c r="D17" s="45">
        <v>0</v>
      </c>
      <c r="E17" s="43" t="s">
        <v>97</v>
      </c>
      <c r="F17" s="43" t="s">
        <v>98</v>
      </c>
      <c r="G17" s="43" t="s">
        <v>7</v>
      </c>
      <c r="H17" s="43" t="s">
        <v>23</v>
      </c>
      <c r="I17" s="43" t="s">
        <v>9</v>
      </c>
      <c r="J17" s="43" t="s">
        <v>95</v>
      </c>
      <c r="K17" s="43" t="s">
        <v>13</v>
      </c>
    </row>
    <row r="18" spans="1:11" s="2" customFormat="1" x14ac:dyDescent="0.3">
      <c r="A18" s="43" t="s">
        <v>99</v>
      </c>
      <c r="B18" s="44">
        <v>45972</v>
      </c>
      <c r="C18" s="45">
        <v>1</v>
      </c>
      <c r="D18" s="45">
        <v>0</v>
      </c>
      <c r="E18" s="43" t="s">
        <v>166</v>
      </c>
      <c r="F18" s="43" t="s">
        <v>98</v>
      </c>
      <c r="G18" s="43" t="s">
        <v>7</v>
      </c>
      <c r="H18" s="43" t="s">
        <v>44</v>
      </c>
      <c r="I18" s="43" t="s">
        <v>20</v>
      </c>
      <c r="J18" s="43" t="s">
        <v>166</v>
      </c>
      <c r="K18" s="43" t="s">
        <v>13</v>
      </c>
    </row>
    <row r="19" spans="1:11" s="2" customFormat="1" x14ac:dyDescent="0.3">
      <c r="A19" s="43" t="s">
        <v>106</v>
      </c>
      <c r="B19" s="44">
        <v>46006</v>
      </c>
      <c r="C19" s="45">
        <v>1</v>
      </c>
      <c r="D19" s="45">
        <v>0</v>
      </c>
      <c r="E19" s="43" t="s">
        <v>107</v>
      </c>
      <c r="F19" s="46" t="s">
        <v>131</v>
      </c>
      <c r="G19" s="43" t="s">
        <v>7</v>
      </c>
      <c r="H19" s="43" t="s">
        <v>18</v>
      </c>
      <c r="I19" s="43" t="s">
        <v>56</v>
      </c>
      <c r="J19" s="43" t="s">
        <v>50</v>
      </c>
      <c r="K19" s="43" t="s">
        <v>43</v>
      </c>
    </row>
    <row r="20" spans="1:11" s="2" customFormat="1" x14ac:dyDescent="0.3">
      <c r="A20" s="43" t="s">
        <v>108</v>
      </c>
      <c r="B20" s="44">
        <v>46027</v>
      </c>
      <c r="C20" s="45">
        <v>1</v>
      </c>
      <c r="D20" s="45">
        <v>0</v>
      </c>
      <c r="E20" s="43" t="s">
        <v>109</v>
      </c>
      <c r="F20" s="43" t="s">
        <v>98</v>
      </c>
      <c r="G20" s="43" t="s">
        <v>7</v>
      </c>
      <c r="H20" s="43" t="s">
        <v>110</v>
      </c>
      <c r="I20" s="43" t="s">
        <v>20</v>
      </c>
      <c r="J20" s="43" t="s">
        <v>117</v>
      </c>
      <c r="K20" s="43" t="s">
        <v>13</v>
      </c>
    </row>
    <row r="21" spans="1:11" s="2" customFormat="1" x14ac:dyDescent="0.3">
      <c r="A21" s="43" t="s">
        <v>112</v>
      </c>
      <c r="B21" s="44">
        <v>45982</v>
      </c>
      <c r="C21" s="45">
        <v>9</v>
      </c>
      <c r="D21" s="45">
        <v>2</v>
      </c>
      <c r="E21" s="43" t="s">
        <v>29</v>
      </c>
      <c r="F21" s="46" t="s">
        <v>131</v>
      </c>
      <c r="G21" s="43" t="s">
        <v>7</v>
      </c>
      <c r="H21" s="43" t="s">
        <v>113</v>
      </c>
      <c r="I21" s="43" t="s">
        <v>9</v>
      </c>
      <c r="J21" s="43" t="s">
        <v>65</v>
      </c>
      <c r="K21" s="43" t="s">
        <v>48</v>
      </c>
    </row>
    <row r="22" spans="1:11" s="2" customFormat="1" x14ac:dyDescent="0.3">
      <c r="A22" s="43" t="s">
        <v>114</v>
      </c>
      <c r="B22" s="44">
        <v>45993</v>
      </c>
      <c r="C22" s="45">
        <v>2</v>
      </c>
      <c r="D22" s="45">
        <v>0</v>
      </c>
      <c r="E22" s="43" t="s">
        <v>115</v>
      </c>
      <c r="F22" s="43" t="s">
        <v>98</v>
      </c>
      <c r="G22" s="43" t="s">
        <v>7</v>
      </c>
      <c r="H22" s="43" t="s">
        <v>17</v>
      </c>
      <c r="I22" s="43" t="s">
        <v>9</v>
      </c>
      <c r="J22" s="43" t="s">
        <v>70</v>
      </c>
      <c r="K22" s="43" t="s">
        <v>91</v>
      </c>
    </row>
    <row r="23" spans="1:11" s="2" customFormat="1" ht="15" customHeight="1" x14ac:dyDescent="0.3">
      <c r="A23" s="43" t="s">
        <v>116</v>
      </c>
      <c r="B23" s="44">
        <v>45995</v>
      </c>
      <c r="C23" s="45">
        <v>1</v>
      </c>
      <c r="D23" s="45">
        <v>0</v>
      </c>
      <c r="E23" s="43" t="s">
        <v>54</v>
      </c>
      <c r="F23" s="46" t="s">
        <v>131</v>
      </c>
      <c r="G23" s="43" t="s">
        <v>7</v>
      </c>
      <c r="H23" s="43" t="s">
        <v>47</v>
      </c>
      <c r="I23" s="43" t="s">
        <v>9</v>
      </c>
      <c r="J23" s="43" t="s">
        <v>117</v>
      </c>
      <c r="K23" s="43" t="s">
        <v>118</v>
      </c>
    </row>
    <row r="24" spans="1:11" s="2" customFormat="1" ht="13.95" customHeight="1" x14ac:dyDescent="0.3">
      <c r="A24" s="43" t="s">
        <v>119</v>
      </c>
      <c r="B24" s="44">
        <v>46013</v>
      </c>
      <c r="C24" s="45">
        <v>1</v>
      </c>
      <c r="D24" s="45">
        <v>0</v>
      </c>
      <c r="E24" s="43" t="s">
        <v>120</v>
      </c>
      <c r="F24" s="46" t="s">
        <v>131</v>
      </c>
      <c r="G24" s="43" t="s">
        <v>7</v>
      </c>
      <c r="H24" s="43" t="s">
        <v>18</v>
      </c>
      <c r="I24" s="43" t="s">
        <v>56</v>
      </c>
      <c r="J24" s="43" t="s">
        <v>121</v>
      </c>
      <c r="K24" s="43" t="s">
        <v>22</v>
      </c>
    </row>
    <row r="25" spans="1:11" s="2" customFormat="1" x14ac:dyDescent="0.3">
      <c r="A25" s="43" t="s">
        <v>122</v>
      </c>
      <c r="B25" s="44">
        <v>46006</v>
      </c>
      <c r="C25" s="45">
        <v>2</v>
      </c>
      <c r="D25" s="45">
        <v>0</v>
      </c>
      <c r="E25" s="43" t="s">
        <v>123</v>
      </c>
      <c r="F25" s="46" t="s">
        <v>131</v>
      </c>
      <c r="G25" s="43" t="s">
        <v>7</v>
      </c>
      <c r="H25" s="43" t="s">
        <v>33</v>
      </c>
      <c r="I25" s="43" t="s">
        <v>20</v>
      </c>
      <c r="J25" s="43" t="s">
        <v>121</v>
      </c>
      <c r="K25" s="43" t="s">
        <v>13</v>
      </c>
    </row>
    <row r="26" spans="1:11" s="2" customFormat="1" x14ac:dyDescent="0.3">
      <c r="A26" s="43" t="s">
        <v>125</v>
      </c>
      <c r="B26" s="44">
        <v>46006</v>
      </c>
      <c r="C26" s="45">
        <v>1</v>
      </c>
      <c r="D26" s="45">
        <v>0</v>
      </c>
      <c r="E26" s="43" t="s">
        <v>126</v>
      </c>
      <c r="F26" s="46" t="s">
        <v>131</v>
      </c>
      <c r="G26" s="43" t="s">
        <v>7</v>
      </c>
      <c r="H26" s="43" t="s">
        <v>18</v>
      </c>
      <c r="I26" s="43" t="s">
        <v>56</v>
      </c>
      <c r="J26" s="43" t="s">
        <v>127</v>
      </c>
      <c r="K26" s="43" t="s">
        <v>22</v>
      </c>
    </row>
    <row r="27" spans="1:11" s="2" customFormat="1" x14ac:dyDescent="0.3">
      <c r="A27" s="43" t="s">
        <v>128</v>
      </c>
      <c r="B27" s="44">
        <v>46013</v>
      </c>
      <c r="C27" s="45">
        <v>1</v>
      </c>
      <c r="D27" s="45">
        <v>0</v>
      </c>
      <c r="E27" s="43" t="s">
        <v>129</v>
      </c>
      <c r="F27" s="43" t="s">
        <v>98</v>
      </c>
      <c r="G27" s="43" t="s">
        <v>7</v>
      </c>
      <c r="H27" s="43" t="s">
        <v>64</v>
      </c>
      <c r="I27" s="43" t="s">
        <v>20</v>
      </c>
      <c r="J27" s="43" t="s">
        <v>65</v>
      </c>
      <c r="K27" s="43" t="s">
        <v>48</v>
      </c>
    </row>
    <row r="28" spans="1:11" s="2" customFormat="1" ht="15" hidden="1" customHeight="1" x14ac:dyDescent="0.3">
      <c r="A28" s="43" t="s">
        <v>130</v>
      </c>
      <c r="B28" s="44">
        <v>45995</v>
      </c>
      <c r="C28" s="45">
        <v>1</v>
      </c>
      <c r="D28" s="45">
        <v>0</v>
      </c>
      <c r="E28" s="43" t="s">
        <v>30</v>
      </c>
      <c r="F28" s="43" t="s">
        <v>131</v>
      </c>
      <c r="G28" s="43" t="s">
        <v>7</v>
      </c>
      <c r="H28" s="43" t="s">
        <v>8</v>
      </c>
      <c r="I28" s="43" t="s">
        <v>20</v>
      </c>
      <c r="J28" s="43" t="s">
        <v>12</v>
      </c>
      <c r="K28" s="43" t="s">
        <v>24</v>
      </c>
    </row>
    <row r="29" spans="1:11" s="2" customFormat="1" x14ac:dyDescent="0.3">
      <c r="A29" s="43" t="s">
        <v>132</v>
      </c>
      <c r="B29" s="44">
        <v>46014</v>
      </c>
      <c r="C29" s="45">
        <v>1</v>
      </c>
      <c r="D29" s="45">
        <v>0</v>
      </c>
      <c r="E29" s="43" t="s">
        <v>133</v>
      </c>
      <c r="F29" s="43" t="s">
        <v>98</v>
      </c>
      <c r="G29" s="43" t="s">
        <v>7</v>
      </c>
      <c r="H29" s="43" t="s">
        <v>18</v>
      </c>
      <c r="I29" s="43" t="s">
        <v>56</v>
      </c>
      <c r="J29" s="43" t="s">
        <v>134</v>
      </c>
      <c r="K29" s="43" t="s">
        <v>13</v>
      </c>
    </row>
    <row r="30" spans="1:11" s="2" customFormat="1" x14ac:dyDescent="0.3">
      <c r="A30" s="43" t="s">
        <v>135</v>
      </c>
      <c r="B30" s="44">
        <v>46020</v>
      </c>
      <c r="C30" s="45">
        <v>1</v>
      </c>
      <c r="D30" s="45">
        <v>0</v>
      </c>
      <c r="E30" s="43" t="s">
        <v>136</v>
      </c>
      <c r="F30" s="43" t="s">
        <v>98</v>
      </c>
      <c r="G30" s="43" t="s">
        <v>7</v>
      </c>
      <c r="H30" s="43" t="s">
        <v>23</v>
      </c>
      <c r="I30" s="43" t="s">
        <v>9</v>
      </c>
      <c r="J30" s="43" t="s">
        <v>137</v>
      </c>
      <c r="K30" s="43" t="s">
        <v>13</v>
      </c>
    </row>
    <row r="31" spans="1:11" s="2" customFormat="1" x14ac:dyDescent="0.3">
      <c r="A31" s="43" t="s">
        <v>138</v>
      </c>
      <c r="B31" s="44">
        <v>46006</v>
      </c>
      <c r="C31" s="45">
        <v>5</v>
      </c>
      <c r="D31" s="45">
        <v>0</v>
      </c>
      <c r="E31" s="43" t="s">
        <v>45</v>
      </c>
      <c r="F31" s="46" t="s">
        <v>131</v>
      </c>
      <c r="G31" s="43" t="s">
        <v>7</v>
      </c>
      <c r="H31" s="43" t="s">
        <v>139</v>
      </c>
      <c r="I31" s="43" t="s">
        <v>20</v>
      </c>
      <c r="J31" s="43" t="s">
        <v>140</v>
      </c>
      <c r="K31" s="43" t="s">
        <v>22</v>
      </c>
    </row>
    <row r="32" spans="1:11" s="2" customFormat="1" x14ac:dyDescent="0.3">
      <c r="A32" s="43" t="s">
        <v>141</v>
      </c>
      <c r="B32" s="44">
        <v>46006</v>
      </c>
      <c r="C32" s="45">
        <v>4</v>
      </c>
      <c r="D32" s="45">
        <v>0</v>
      </c>
      <c r="E32" s="43" t="s">
        <v>142</v>
      </c>
      <c r="F32" s="46" t="s">
        <v>131</v>
      </c>
      <c r="G32" s="43" t="s">
        <v>7</v>
      </c>
      <c r="H32" s="43" t="s">
        <v>139</v>
      </c>
      <c r="I32" s="43" t="s">
        <v>20</v>
      </c>
      <c r="J32" s="43" t="s">
        <v>140</v>
      </c>
      <c r="K32" s="43" t="s">
        <v>33</v>
      </c>
    </row>
    <row r="33" spans="1:19" s="2" customFormat="1" x14ac:dyDescent="0.3">
      <c r="A33" s="43" t="s">
        <v>143</v>
      </c>
      <c r="B33" s="44">
        <v>46014</v>
      </c>
      <c r="C33" s="45">
        <v>2</v>
      </c>
      <c r="D33" s="45">
        <v>1</v>
      </c>
      <c r="E33" s="43" t="s">
        <v>29</v>
      </c>
      <c r="F33" s="46" t="s">
        <v>131</v>
      </c>
      <c r="G33" s="43" t="s">
        <v>7</v>
      </c>
      <c r="H33" s="43" t="s">
        <v>18</v>
      </c>
      <c r="I33" s="43" t="s">
        <v>56</v>
      </c>
      <c r="J33" s="43" t="s">
        <v>140</v>
      </c>
      <c r="K33" s="43" t="s">
        <v>22</v>
      </c>
    </row>
    <row r="34" spans="1:19" s="2" customFormat="1" x14ac:dyDescent="0.3">
      <c r="A34" s="43" t="s">
        <v>144</v>
      </c>
      <c r="B34" s="44">
        <v>46013</v>
      </c>
      <c r="C34" s="45">
        <v>1</v>
      </c>
      <c r="D34" s="45">
        <v>0</v>
      </c>
      <c r="E34" s="43" t="s">
        <v>25</v>
      </c>
      <c r="F34" s="46" t="s">
        <v>131</v>
      </c>
      <c r="G34" s="43" t="s">
        <v>7</v>
      </c>
      <c r="H34" s="43" t="s">
        <v>17</v>
      </c>
      <c r="I34" s="43" t="s">
        <v>9</v>
      </c>
      <c r="J34" s="43" t="s">
        <v>145</v>
      </c>
      <c r="K34" s="43" t="s">
        <v>24</v>
      </c>
    </row>
    <row r="35" spans="1:19" s="2" customFormat="1" x14ac:dyDescent="0.3">
      <c r="A35" s="43" t="s">
        <v>146</v>
      </c>
      <c r="B35" s="44">
        <v>46013</v>
      </c>
      <c r="C35" s="45">
        <v>1</v>
      </c>
      <c r="D35" s="45">
        <v>0</v>
      </c>
      <c r="E35" s="43" t="s">
        <v>147</v>
      </c>
      <c r="F35" s="43" t="s">
        <v>98</v>
      </c>
      <c r="G35" s="43" t="s">
        <v>7</v>
      </c>
      <c r="H35" s="43" t="s">
        <v>148</v>
      </c>
      <c r="I35" s="43" t="s">
        <v>9</v>
      </c>
      <c r="J35" s="43" t="s">
        <v>149</v>
      </c>
      <c r="K35" s="43" t="s">
        <v>13</v>
      </c>
    </row>
    <row r="36" spans="1:19" s="2" customFormat="1" x14ac:dyDescent="0.3">
      <c r="A36" s="43" t="s">
        <v>150</v>
      </c>
      <c r="B36" s="44">
        <v>46013</v>
      </c>
      <c r="C36" s="45">
        <v>1</v>
      </c>
      <c r="D36" s="45">
        <v>0</v>
      </c>
      <c r="E36" s="43" t="s">
        <v>151</v>
      </c>
      <c r="F36" s="43" t="s">
        <v>98</v>
      </c>
      <c r="G36" s="43" t="s">
        <v>7</v>
      </c>
      <c r="H36" s="43" t="s">
        <v>148</v>
      </c>
      <c r="I36" s="43" t="s">
        <v>9</v>
      </c>
      <c r="J36" s="43" t="s">
        <v>149</v>
      </c>
      <c r="K36" s="43" t="s">
        <v>13</v>
      </c>
    </row>
    <row r="37" spans="1:19" s="2" customFormat="1" x14ac:dyDescent="0.3">
      <c r="A37" s="43" t="s">
        <v>152</v>
      </c>
      <c r="B37" s="44">
        <v>46006</v>
      </c>
      <c r="C37" s="45">
        <v>1</v>
      </c>
      <c r="D37" s="45">
        <v>0</v>
      </c>
      <c r="E37" s="43" t="s">
        <v>153</v>
      </c>
      <c r="F37" s="46" t="s">
        <v>131</v>
      </c>
      <c r="G37" s="43" t="s">
        <v>7</v>
      </c>
      <c r="H37" s="43" t="s">
        <v>33</v>
      </c>
      <c r="I37" s="43" t="s">
        <v>20</v>
      </c>
      <c r="J37" s="43" t="s">
        <v>77</v>
      </c>
      <c r="K37" s="43" t="s">
        <v>13</v>
      </c>
    </row>
    <row r="38" spans="1:19" s="2" customFormat="1" x14ac:dyDescent="0.3">
      <c r="A38" s="43" t="s">
        <v>154</v>
      </c>
      <c r="B38" s="44">
        <v>46015</v>
      </c>
      <c r="C38" s="45">
        <v>1</v>
      </c>
      <c r="D38" s="45">
        <v>0</v>
      </c>
      <c r="E38" s="43" t="s">
        <v>155</v>
      </c>
      <c r="F38" s="43" t="s">
        <v>98</v>
      </c>
      <c r="G38" s="43" t="s">
        <v>7</v>
      </c>
      <c r="H38" s="43" t="s">
        <v>47</v>
      </c>
      <c r="I38" s="43" t="s">
        <v>9</v>
      </c>
      <c r="J38" s="43" t="s">
        <v>156</v>
      </c>
      <c r="K38" s="43" t="s">
        <v>13</v>
      </c>
    </row>
    <row r="39" spans="1:19" s="2" customFormat="1" x14ac:dyDescent="0.3">
      <c r="A39" s="43" t="s">
        <v>157</v>
      </c>
      <c r="B39" s="44">
        <v>46020</v>
      </c>
      <c r="C39" s="45">
        <v>1</v>
      </c>
      <c r="D39" s="45">
        <v>0</v>
      </c>
      <c r="E39" s="43" t="s">
        <v>158</v>
      </c>
      <c r="F39" s="43" t="s">
        <v>98</v>
      </c>
      <c r="G39" s="43" t="s">
        <v>7</v>
      </c>
      <c r="H39" s="43" t="s">
        <v>17</v>
      </c>
      <c r="I39" s="43" t="s">
        <v>9</v>
      </c>
      <c r="J39" s="43" t="s">
        <v>159</v>
      </c>
      <c r="K39" s="43" t="s">
        <v>28</v>
      </c>
    </row>
    <row r="40" spans="1:19" s="2" customFormat="1" x14ac:dyDescent="0.3">
      <c r="A40" s="43" t="s">
        <v>160</v>
      </c>
      <c r="B40" s="44">
        <v>46020</v>
      </c>
      <c r="C40" s="45">
        <v>1</v>
      </c>
      <c r="D40" s="45">
        <v>0</v>
      </c>
      <c r="E40" s="43" t="s">
        <v>161</v>
      </c>
      <c r="F40" s="46" t="s">
        <v>131</v>
      </c>
      <c r="G40" s="43" t="s">
        <v>7</v>
      </c>
      <c r="H40" s="43" t="s">
        <v>18</v>
      </c>
      <c r="I40" s="43" t="s">
        <v>56</v>
      </c>
      <c r="J40" s="43" t="s">
        <v>137</v>
      </c>
      <c r="K40" s="43" t="s">
        <v>13</v>
      </c>
    </row>
    <row r="41" spans="1:19" s="2" customFormat="1" ht="14.25" customHeight="1" x14ac:dyDescent="0.3">
      <c r="A41" s="43" t="s">
        <v>162</v>
      </c>
      <c r="B41" s="44">
        <v>46019</v>
      </c>
      <c r="C41" s="45">
        <v>1</v>
      </c>
      <c r="D41" s="45">
        <v>0</v>
      </c>
      <c r="E41" s="43" t="s">
        <v>166</v>
      </c>
      <c r="F41" s="46" t="s">
        <v>131</v>
      </c>
      <c r="G41" s="43" t="s">
        <v>7</v>
      </c>
      <c r="H41" s="43" t="s">
        <v>33</v>
      </c>
      <c r="I41" s="43" t="s">
        <v>20</v>
      </c>
      <c r="J41" s="43" t="s">
        <v>166</v>
      </c>
      <c r="K41" s="43" t="s">
        <v>13</v>
      </c>
    </row>
    <row r="42" spans="1:19" s="2" customFormat="1" ht="14.25" customHeight="1" x14ac:dyDescent="0.3">
      <c r="A42" s="43" t="s">
        <v>163</v>
      </c>
      <c r="B42" s="44">
        <v>46023</v>
      </c>
      <c r="C42" s="45">
        <v>1</v>
      </c>
      <c r="D42" s="45">
        <v>0</v>
      </c>
      <c r="E42" s="43" t="s">
        <v>164</v>
      </c>
      <c r="F42" s="43" t="s">
        <v>98</v>
      </c>
      <c r="G42" s="43" t="s">
        <v>7</v>
      </c>
      <c r="H42" s="43" t="s">
        <v>33</v>
      </c>
      <c r="I42" s="43" t="s">
        <v>20</v>
      </c>
      <c r="J42" s="43" t="s">
        <v>165</v>
      </c>
      <c r="K42" s="43" t="s">
        <v>13</v>
      </c>
    </row>
    <row r="43" spans="1:19" x14ac:dyDescent="0.3">
      <c r="A43" s="43" t="s">
        <v>178</v>
      </c>
      <c r="B43" s="44">
        <v>46029</v>
      </c>
      <c r="C43" s="45">
        <v>1</v>
      </c>
      <c r="D43" s="45">
        <v>0</v>
      </c>
      <c r="E43" s="43" t="s">
        <v>179</v>
      </c>
      <c r="F43" s="43" t="s">
        <v>98</v>
      </c>
      <c r="G43" s="43" t="s">
        <v>7</v>
      </c>
      <c r="H43" s="43" t="s">
        <v>33</v>
      </c>
      <c r="I43" s="43" t="s">
        <v>20</v>
      </c>
      <c r="J43" s="43" t="s">
        <v>180</v>
      </c>
      <c r="K43" s="43" t="s">
        <v>21</v>
      </c>
    </row>
    <row r="44" spans="1:19" x14ac:dyDescent="0.3">
      <c r="A44" s="43" t="s">
        <v>181</v>
      </c>
      <c r="B44" s="44">
        <v>46028</v>
      </c>
      <c r="C44" s="45">
        <v>1</v>
      </c>
      <c r="D44" s="45">
        <v>0</v>
      </c>
      <c r="E44" s="43" t="s">
        <v>182</v>
      </c>
      <c r="F44" s="46" t="s">
        <v>131</v>
      </c>
      <c r="G44" s="43" t="s">
        <v>7</v>
      </c>
      <c r="H44" s="43" t="s">
        <v>183</v>
      </c>
      <c r="I44" s="43" t="s">
        <v>20</v>
      </c>
      <c r="J44" s="43"/>
      <c r="K44" s="43" t="s">
        <v>13</v>
      </c>
    </row>
    <row r="45" spans="1:19" ht="15" thickBot="1" x14ac:dyDescent="0.35">
      <c r="A45" s="40"/>
      <c r="B45" s="41"/>
      <c r="C45" s="42"/>
      <c r="D45" s="42"/>
      <c r="E45" s="40"/>
      <c r="F45" s="40"/>
      <c r="G45" s="40"/>
      <c r="H45" s="40"/>
      <c r="I45" s="40"/>
      <c r="J45" s="40"/>
      <c r="K45" s="40"/>
      <c r="P45" s="3"/>
      <c r="Q45" s="3"/>
      <c r="R45" s="4"/>
      <c r="S45" s="4"/>
    </row>
    <row r="46" spans="1:19" ht="15" thickBot="1" x14ac:dyDescent="0.35">
      <c r="B46" s="34" t="s">
        <v>31</v>
      </c>
      <c r="C46" s="12">
        <f>SUM(C4:C44)-SUM(D4:D44)</f>
        <v>60</v>
      </c>
      <c r="D46" s="29"/>
      <c r="F46" s="35" t="s">
        <v>57</v>
      </c>
      <c r="G46" s="36">
        <f>COUNTIF(I4:I44,"Pending")</f>
        <v>9</v>
      </c>
      <c r="I46" s="38" t="s">
        <v>58</v>
      </c>
      <c r="J46" s="39">
        <f>C46-G46</f>
        <v>51</v>
      </c>
    </row>
    <row r="47" spans="1:19" x14ac:dyDescent="0.3">
      <c r="G47" s="3"/>
      <c r="H47" s="4"/>
      <c r="I47" s="3"/>
    </row>
    <row r="48" spans="1:19" x14ac:dyDescent="0.3">
      <c r="D48" s="13"/>
    </row>
    <row r="49" spans="1:11" s="6" customFormat="1" ht="28.8" x14ac:dyDescent="0.3">
      <c r="A49" s="28" t="s">
        <v>0</v>
      </c>
      <c r="B49" s="28" t="s">
        <v>1</v>
      </c>
      <c r="C49" s="28" t="s">
        <v>2</v>
      </c>
      <c r="D49" s="28" t="s">
        <v>3</v>
      </c>
      <c r="E49" s="28" t="s">
        <v>4</v>
      </c>
      <c r="F49" s="28" t="s">
        <v>51</v>
      </c>
      <c r="G49" s="28" t="s">
        <v>52</v>
      </c>
      <c r="H49" s="28" t="s">
        <v>5</v>
      </c>
      <c r="I49" s="28" t="s">
        <v>53</v>
      </c>
      <c r="J49" s="28" t="s">
        <v>27</v>
      </c>
      <c r="K49" s="28" t="s">
        <v>6</v>
      </c>
    </row>
    <row r="50" spans="1:11" s="14" customFormat="1" x14ac:dyDescent="0.3">
      <c r="A50" s="43" t="s">
        <v>170</v>
      </c>
      <c r="B50" s="44">
        <v>46013</v>
      </c>
      <c r="C50" s="45">
        <v>1</v>
      </c>
      <c r="D50" s="45">
        <v>0</v>
      </c>
      <c r="E50" s="43" t="s">
        <v>171</v>
      </c>
      <c r="F50" s="46" t="s">
        <v>131</v>
      </c>
      <c r="G50" s="43" t="s">
        <v>32</v>
      </c>
      <c r="H50" s="43" t="s">
        <v>148</v>
      </c>
      <c r="I50" s="43" t="s">
        <v>20</v>
      </c>
      <c r="J50" s="43" t="s">
        <v>105</v>
      </c>
      <c r="K50" s="43" t="s">
        <v>19</v>
      </c>
    </row>
    <row r="51" spans="1:11" s="14" customFormat="1" hidden="1" x14ac:dyDescent="0.3">
      <c r="A51" s="7"/>
      <c r="B51" s="8"/>
      <c r="C51" s="9"/>
      <c r="D51" s="9"/>
      <c r="E51" s="7"/>
      <c r="F51" s="7"/>
      <c r="G51" s="7"/>
      <c r="H51" s="7"/>
      <c r="I51" s="7"/>
      <c r="J51" s="7"/>
      <c r="K51" s="7"/>
    </row>
    <row r="52" spans="1:11" s="14" customFormat="1" ht="15" hidden="1" customHeight="1" x14ac:dyDescent="0.3">
      <c r="A52" s="7"/>
      <c r="B52" s="8"/>
      <c r="C52" s="9"/>
      <c r="D52" s="9"/>
      <c r="E52" s="7"/>
      <c r="F52" s="7"/>
      <c r="G52" s="7"/>
      <c r="H52" s="7"/>
      <c r="I52" s="7"/>
      <c r="J52" s="7"/>
      <c r="K52" s="31"/>
    </row>
    <row r="53" spans="1:11" s="14" customFormat="1" ht="15" hidden="1" customHeight="1" x14ac:dyDescent="0.3">
      <c r="A53" s="15"/>
      <c r="B53" s="16"/>
      <c r="C53" s="17"/>
      <c r="D53" s="17"/>
      <c r="E53" s="15"/>
      <c r="F53" s="15"/>
      <c r="G53" s="15"/>
      <c r="H53" s="15"/>
      <c r="I53" s="15"/>
      <c r="J53" s="15"/>
      <c r="K53" s="31"/>
    </row>
    <row r="54" spans="1:11" s="18" customFormat="1" ht="15" hidden="1" customHeight="1" x14ac:dyDescent="0.3">
      <c r="A54" s="15"/>
      <c r="B54" s="16"/>
      <c r="C54" s="17"/>
      <c r="D54" s="17"/>
      <c r="E54" s="15"/>
      <c r="F54" s="15"/>
      <c r="G54" s="15"/>
      <c r="H54" s="15"/>
      <c r="I54" s="15"/>
      <c r="J54" s="15"/>
      <c r="K54" s="32"/>
    </row>
    <row r="55" spans="1:11" s="18" customFormat="1" ht="15" hidden="1" customHeight="1" x14ac:dyDescent="0.3">
      <c r="A55" s="19"/>
      <c r="B55" s="20"/>
      <c r="C55" s="21"/>
      <c r="D55" s="21"/>
      <c r="E55" s="19"/>
      <c r="F55" s="19"/>
      <c r="G55" s="19"/>
      <c r="H55" s="19"/>
      <c r="I55" s="19"/>
      <c r="J55" s="19"/>
      <c r="K55" s="32"/>
    </row>
    <row r="56" spans="1:11" s="18" customFormat="1" ht="15" hidden="1" customHeight="1" x14ac:dyDescent="0.3">
      <c r="A56" s="19"/>
      <c r="B56" s="20"/>
      <c r="C56" s="21"/>
      <c r="D56" s="21"/>
      <c r="E56" s="19"/>
      <c r="F56" s="19"/>
      <c r="G56" s="19"/>
      <c r="H56" s="19"/>
      <c r="I56" s="19"/>
      <c r="J56" s="19"/>
      <c r="K56" s="32"/>
    </row>
    <row r="57" spans="1:11" s="18" customFormat="1" ht="15" hidden="1" customHeight="1" x14ac:dyDescent="0.3">
      <c r="A57" s="19"/>
      <c r="B57" s="20"/>
      <c r="C57" s="21"/>
      <c r="D57" s="21"/>
      <c r="E57" s="19"/>
      <c r="F57" s="19"/>
      <c r="G57" s="19"/>
      <c r="H57" s="19"/>
      <c r="I57" s="19"/>
      <c r="J57" s="19"/>
      <c r="K57" s="32"/>
    </row>
    <row r="58" spans="1:11" s="18" customFormat="1" ht="15" hidden="1" customHeight="1" x14ac:dyDescent="0.3">
      <c r="A58" s="47"/>
      <c r="B58" s="48"/>
      <c r="C58" s="49"/>
      <c r="D58" s="49"/>
      <c r="E58" s="47"/>
      <c r="F58" s="47"/>
      <c r="G58" s="47"/>
      <c r="H58" s="47"/>
      <c r="I58" s="47"/>
      <c r="J58" s="47"/>
      <c r="K58" s="50"/>
    </row>
    <row r="59" spans="1:11" x14ac:dyDescent="0.3">
      <c r="A59" s="51"/>
      <c r="B59" s="52"/>
      <c r="C59" s="53"/>
      <c r="D59" s="53"/>
      <c r="E59" s="51"/>
      <c r="F59" s="51"/>
      <c r="G59" s="51"/>
      <c r="H59" s="51"/>
      <c r="I59" s="51"/>
      <c r="J59" s="51"/>
      <c r="K59" s="2"/>
    </row>
    <row r="60" spans="1:11" ht="15" thickBot="1" x14ac:dyDescent="0.35">
      <c r="B60" s="33" t="s">
        <v>34</v>
      </c>
      <c r="C60" s="30">
        <f>SUM(C50:C51)-SUM(D50:D51)</f>
        <v>1</v>
      </c>
      <c r="E60" s="2"/>
      <c r="F60" s="2"/>
      <c r="H60" s="2"/>
      <c r="J60" s="2"/>
      <c r="K60" s="2"/>
    </row>
    <row r="61" spans="1:11" x14ac:dyDescent="0.3">
      <c r="E61" s="2"/>
      <c r="F61" s="2"/>
      <c r="H61" s="2"/>
      <c r="J61" s="2"/>
      <c r="K61" s="2"/>
    </row>
    <row r="62" spans="1:11" x14ac:dyDescent="0.3">
      <c r="E62" s="2"/>
      <c r="F62" s="2"/>
      <c r="H62" s="2"/>
      <c r="J62" s="2"/>
      <c r="K62" s="2"/>
    </row>
    <row r="63" spans="1:11" s="2" customFormat="1" ht="34.35" customHeight="1" x14ac:dyDescent="0.3">
      <c r="A63" s="28" t="s">
        <v>0</v>
      </c>
      <c r="B63" s="28" t="s">
        <v>1</v>
      </c>
      <c r="C63" s="28" t="s">
        <v>2</v>
      </c>
      <c r="D63" s="28" t="s">
        <v>3</v>
      </c>
      <c r="E63" s="28" t="s">
        <v>4</v>
      </c>
      <c r="F63" s="28" t="s">
        <v>51</v>
      </c>
      <c r="G63" s="28" t="s">
        <v>52</v>
      </c>
      <c r="H63" s="28" t="s">
        <v>5</v>
      </c>
      <c r="I63" s="28" t="s">
        <v>53</v>
      </c>
      <c r="J63" s="28" t="s">
        <v>27</v>
      </c>
      <c r="K63" s="28" t="s">
        <v>6</v>
      </c>
    </row>
    <row r="64" spans="1:11" x14ac:dyDescent="0.3">
      <c r="A64" s="43" t="s">
        <v>100</v>
      </c>
      <c r="B64" s="44">
        <v>46027</v>
      </c>
      <c r="C64" s="45">
        <v>2</v>
      </c>
      <c r="D64" s="45">
        <v>0</v>
      </c>
      <c r="E64" s="43" t="s">
        <v>101</v>
      </c>
      <c r="F64" s="43" t="s">
        <v>98</v>
      </c>
      <c r="G64" s="43" t="s">
        <v>55</v>
      </c>
      <c r="H64" s="43" t="s">
        <v>102</v>
      </c>
      <c r="I64" s="43" t="s">
        <v>20</v>
      </c>
      <c r="J64" s="43" t="s">
        <v>103</v>
      </c>
      <c r="K64" s="43" t="s">
        <v>21</v>
      </c>
    </row>
    <row r="65" spans="1:29" x14ac:dyDescent="0.3">
      <c r="A65" s="43" t="s">
        <v>172</v>
      </c>
      <c r="B65" s="44">
        <v>46017</v>
      </c>
      <c r="C65" s="45">
        <v>1</v>
      </c>
      <c r="D65" s="45">
        <v>0</v>
      </c>
      <c r="E65" s="43" t="s">
        <v>173</v>
      </c>
      <c r="F65" s="43" t="s">
        <v>98</v>
      </c>
      <c r="G65" s="43" t="s">
        <v>55</v>
      </c>
      <c r="H65" s="43" t="s">
        <v>33</v>
      </c>
      <c r="I65" s="43" t="s">
        <v>20</v>
      </c>
      <c r="J65" s="43" t="s">
        <v>175</v>
      </c>
      <c r="K65" s="43" t="s">
        <v>176</v>
      </c>
    </row>
    <row r="66" spans="1:29" x14ac:dyDescent="0.3">
      <c r="A66" s="43" t="s">
        <v>184</v>
      </c>
      <c r="B66" s="44">
        <v>46028</v>
      </c>
      <c r="C66" s="45">
        <v>1</v>
      </c>
      <c r="D66" s="45">
        <v>0</v>
      </c>
      <c r="E66" s="43" t="s">
        <v>164</v>
      </c>
      <c r="F66" s="43" t="s">
        <v>98</v>
      </c>
      <c r="G66" s="43" t="s">
        <v>55</v>
      </c>
      <c r="H66" s="43" t="s">
        <v>185</v>
      </c>
      <c r="I66" s="43" t="s">
        <v>20</v>
      </c>
      <c r="J66" s="43" t="s">
        <v>186</v>
      </c>
      <c r="K66" s="43" t="s">
        <v>22</v>
      </c>
    </row>
    <row r="67" spans="1:29" x14ac:dyDescent="0.3">
      <c r="A67" s="43" t="s">
        <v>187</v>
      </c>
      <c r="B67" s="44">
        <v>46028</v>
      </c>
      <c r="C67" s="45">
        <v>2</v>
      </c>
      <c r="D67" s="45">
        <v>0</v>
      </c>
      <c r="E67" s="43" t="s">
        <v>168</v>
      </c>
      <c r="F67" s="46" t="s">
        <v>131</v>
      </c>
      <c r="G67" s="43" t="s">
        <v>55</v>
      </c>
      <c r="H67" s="43" t="s">
        <v>33</v>
      </c>
      <c r="I67" s="43" t="s">
        <v>20</v>
      </c>
      <c r="J67" s="43" t="s">
        <v>105</v>
      </c>
      <c r="K67" s="43" t="s">
        <v>43</v>
      </c>
    </row>
    <row r="68" spans="1:29" x14ac:dyDescent="0.3">
      <c r="A68" s="43" t="s">
        <v>188</v>
      </c>
      <c r="B68" s="44">
        <v>46029</v>
      </c>
      <c r="C68" s="45">
        <v>1</v>
      </c>
      <c r="D68" s="45">
        <v>0</v>
      </c>
      <c r="E68" s="43" t="s">
        <v>41</v>
      </c>
      <c r="F68" s="43" t="s">
        <v>98</v>
      </c>
      <c r="G68" s="43" t="s">
        <v>55</v>
      </c>
      <c r="H68" s="43" t="s">
        <v>33</v>
      </c>
      <c r="I68" s="43" t="s">
        <v>20</v>
      </c>
      <c r="J68" s="43" t="s">
        <v>82</v>
      </c>
      <c r="K68" s="43" t="s">
        <v>22</v>
      </c>
    </row>
    <row r="69" spans="1:29" x14ac:dyDescent="0.3">
      <c r="A69" s="55"/>
      <c r="B69" s="56"/>
      <c r="C69" s="57"/>
      <c r="D69" s="57"/>
      <c r="E69" s="55"/>
      <c r="F69" s="55"/>
      <c r="G69" s="55"/>
      <c r="H69" s="55"/>
      <c r="I69" s="55"/>
      <c r="J69" s="55"/>
      <c r="K69" s="55"/>
    </row>
    <row r="70" spans="1:29" s="2" customFormat="1" ht="15" thickBot="1" x14ac:dyDescent="0.35">
      <c r="E70" s="3"/>
      <c r="F70" s="3"/>
      <c r="G70" s="5"/>
      <c r="H70" s="18"/>
      <c r="J70" s="3"/>
      <c r="K70" s="3"/>
      <c r="L70" s="4"/>
      <c r="M70" s="4"/>
      <c r="N70" s="4"/>
      <c r="O70" s="4"/>
      <c r="P70" s="4"/>
      <c r="Q70" s="4"/>
      <c r="R70" s="3"/>
      <c r="S70" s="3"/>
      <c r="T70" s="4"/>
      <c r="U70" s="4"/>
      <c r="V70" s="4"/>
      <c r="W70" s="4"/>
      <c r="X70" s="4"/>
      <c r="Y70" s="4"/>
      <c r="Z70" s="4"/>
      <c r="AA70" s="4"/>
      <c r="AB70" s="4"/>
      <c r="AC70" s="4"/>
    </row>
    <row r="71" spans="1:29" s="2" customFormat="1" ht="15" thickBot="1" x14ac:dyDescent="0.35">
      <c r="B71" s="38" t="s">
        <v>35</v>
      </c>
      <c r="C71" s="22">
        <f>SUM(C64:C69)-SUM(D64:D69)</f>
        <v>7</v>
      </c>
      <c r="E71" s="3"/>
      <c r="F71" s="3"/>
      <c r="G71" s="5"/>
      <c r="H71" s="18"/>
      <c r="J71" s="3"/>
      <c r="K71" s="3"/>
      <c r="L71" s="4"/>
      <c r="M71" s="4"/>
      <c r="N71" s="4"/>
      <c r="O71" s="4"/>
      <c r="P71" s="4"/>
      <c r="Q71" s="4"/>
      <c r="R71" s="3"/>
      <c r="S71" s="3"/>
      <c r="T71" s="4"/>
      <c r="U71" s="4"/>
      <c r="V71" s="4"/>
      <c r="W71" s="4"/>
      <c r="X71" s="4"/>
      <c r="Y71" s="4"/>
      <c r="Z71" s="4"/>
      <c r="AA71" s="4"/>
      <c r="AB71" s="4"/>
      <c r="AC71" s="4"/>
    </row>
  </sheetData>
  <autoFilter ref="A3:J42" xr:uid="{6E392464-0CD5-4B6C-9B5A-A4EF4B03C567}"/>
  <conditionalFormatting sqref="F1:F44">
    <cfRule type="cellIs" dxfId="226" priority="5" operator="equal">
      <formula>"Non-Billable"</formula>
    </cfRule>
    <cfRule type="cellIs" dxfId="225" priority="6" operator="equal">
      <formula>"Billable"</formula>
    </cfRule>
  </conditionalFormatting>
  <conditionalFormatting sqref="F47:F1048576">
    <cfRule type="cellIs" dxfId="224" priority="1" operator="equal">
      <formula>"Non-Billable"</formula>
    </cfRule>
    <cfRule type="cellIs" dxfId="223" priority="2" operator="equal">
      <formula>"Billable"</formula>
    </cfRule>
  </conditionalFormatting>
  <conditionalFormatting sqref="H1:H2 H4:H44 F45 H46:H48 H50:H62 H64:H1048576">
    <cfRule type="cellIs" dxfId="222" priority="44" operator="equal">
      <formula>"Not accpeting applications"</formula>
    </cfRule>
  </conditionalFormatting>
  <conditionalFormatting sqref="H1:H2 H4:H44 H46:H48 H50:H62 H64:H1048576">
    <cfRule type="cellIs" dxfId="221" priority="42" operator="equal">
      <formula>"Not Accepting Applications"</formula>
    </cfRule>
  </conditionalFormatting>
  <conditionalFormatting sqref="H4:H44">
    <cfRule type="cellIs" dxfId="220" priority="45" operator="equal">
      <formula>"Accepting Applications"</formula>
    </cfRule>
  </conditionalFormatting>
  <conditionalFormatting sqref="H43:H44 F45">
    <cfRule type="cellIs" dxfId="219" priority="46" operator="equal">
      <formula>"Not Accepting Application"</formula>
    </cfRule>
    <cfRule type="cellIs" dxfId="218" priority="47" operator="equal">
      <formula>"Y"</formula>
    </cfRule>
  </conditionalFormatting>
  <conditionalFormatting sqref="H50:H52">
    <cfRule type="cellIs" dxfId="217" priority="43" operator="equal">
      <formula>"Not accepting applications"</formula>
    </cfRule>
  </conditionalFormatting>
  <conditionalFormatting sqref="H54:H58">
    <cfRule type="cellIs" dxfId="216" priority="49" operator="equal">
      <formula>"Not Accepting Application"</formula>
    </cfRule>
    <cfRule type="cellIs" dxfId="215" priority="50" operator="equal">
      <formula>"Accepting Applications"</formula>
    </cfRule>
    <cfRule type="cellIs" dxfId="214" priority="51" operator="equal">
      <formula>"Y"</formula>
    </cfRule>
  </conditionalFormatting>
  <conditionalFormatting sqref="I1:I44 F45:G45 I47:I1048576">
    <cfRule type="cellIs" dxfId="213" priority="38" operator="equal">
      <formula>"Accepting Applications"</formula>
    </cfRule>
    <cfRule type="cellIs" dxfId="212" priority="39" operator="equal">
      <formula>"Not Accepting Applications"</formula>
    </cfRule>
  </conditionalFormatting>
  <conditionalFormatting sqref="I1:I44 G45 I47:I1048576">
    <cfRule type="cellIs" dxfId="211" priority="37" operator="equal">
      <formula>"Pending"</formula>
    </cfRule>
  </conditionalFormatting>
  <conditionalFormatting sqref="AG64:AG72">
    <cfRule type="cellIs" dxfId="210" priority="48" operator="equal">
      <formula>"Not Accepting Applications"</formula>
    </cfRule>
  </conditionalFormatting>
  <pageMargins left="0.7" right="0.7" top="0.75" bottom="0.75" header="0.3" footer="0.3"/>
  <pageSetup orientation="landscape" horizontalDpi="4294967295" verticalDpi="4294967295"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B48CC-546F-4A04-9FCC-4456D9F9292D}">
  <sheetPr>
    <tabColor theme="2" tint="-9.9978637043366805E-2"/>
  </sheetPr>
  <dimension ref="A1:AC73"/>
  <sheetViews>
    <sheetView showGridLines="0" zoomScale="81" zoomScaleNormal="100" workbookViewId="0">
      <selection activeCell="E27" sqref="E27"/>
    </sheetView>
  </sheetViews>
  <sheetFormatPr defaultColWidth="9.109375" defaultRowHeight="14.4" x14ac:dyDescent="0.3"/>
  <cols>
    <col min="1" max="1" width="12.5546875" style="2" customWidth="1"/>
    <col min="2" max="2" width="22.6640625" style="2" customWidth="1"/>
    <col min="3" max="3" width="15.6640625" style="2" customWidth="1"/>
    <col min="4" max="4" width="14.88671875" style="2" customWidth="1"/>
    <col min="5" max="5" width="42.88671875" style="3" customWidth="1"/>
    <col min="6" max="6" width="28.88671875" style="3" customWidth="1"/>
    <col min="7" max="7" width="20.33203125" style="5" customWidth="1"/>
    <col min="8" max="8" width="38.44140625" style="18" customWidth="1"/>
    <col min="9" max="9" width="32.6640625" style="2" customWidth="1"/>
    <col min="10" max="10" width="35.5546875" style="3" customWidth="1"/>
    <col min="11" max="11" width="56.6640625" style="3" customWidth="1"/>
    <col min="12" max="16" width="9.109375" style="4"/>
    <col min="17" max="17" width="3.88671875" style="4" customWidth="1"/>
    <col min="18" max="18" width="30.5546875" style="3" customWidth="1"/>
    <col min="19" max="19" width="9.109375" style="3"/>
    <col min="20" max="24" width="9.109375" style="4"/>
    <col min="25" max="27" width="0" style="4" hidden="1" customWidth="1"/>
    <col min="28" max="28" width="26.5546875" style="4" hidden="1" customWidth="1"/>
    <col min="29" max="36" width="0" style="4" hidden="1" customWidth="1"/>
    <col min="37" max="16384" width="9.109375" style="4"/>
  </cols>
  <sheetData>
    <row r="1" spans="1:29" x14ac:dyDescent="0.3">
      <c r="A1" s="26">
        <v>0.52500000000000002</v>
      </c>
      <c r="B1" s="37">
        <v>46027</v>
      </c>
      <c r="D1" s="26"/>
      <c r="E1" s="1"/>
    </row>
    <row r="2" spans="1:29" x14ac:dyDescent="0.3">
      <c r="E2" s="2"/>
      <c r="F2" s="2"/>
      <c r="J2" s="2"/>
      <c r="AB2" s="3"/>
      <c r="AC2" s="3"/>
    </row>
    <row r="3" spans="1:29" s="27" customFormat="1" ht="39.9" customHeight="1" x14ac:dyDescent="0.3">
      <c r="A3" s="28" t="s">
        <v>0</v>
      </c>
      <c r="B3" s="28" t="s">
        <v>1</v>
      </c>
      <c r="C3" s="28" t="s">
        <v>2</v>
      </c>
      <c r="D3" s="28" t="s">
        <v>3</v>
      </c>
      <c r="E3" s="28" t="s">
        <v>4</v>
      </c>
      <c r="F3" s="28" t="s">
        <v>51</v>
      </c>
      <c r="G3" s="28" t="s">
        <v>52</v>
      </c>
      <c r="H3" s="28" t="s">
        <v>5</v>
      </c>
      <c r="I3" s="28" t="s">
        <v>53</v>
      </c>
      <c r="J3" s="28" t="s">
        <v>27</v>
      </c>
      <c r="K3" s="28" t="s">
        <v>6</v>
      </c>
      <c r="AB3" s="2"/>
      <c r="AC3" s="2"/>
    </row>
    <row r="4" spans="1:29" s="2" customFormat="1" x14ac:dyDescent="0.3">
      <c r="A4" s="43" t="s">
        <v>59</v>
      </c>
      <c r="B4" s="44">
        <v>45937</v>
      </c>
      <c r="C4" s="45">
        <v>5</v>
      </c>
      <c r="D4" s="45">
        <v>1</v>
      </c>
      <c r="E4" s="43" t="s">
        <v>46</v>
      </c>
      <c r="F4" s="46" t="s">
        <v>131</v>
      </c>
      <c r="G4" s="43" t="s">
        <v>7</v>
      </c>
      <c r="H4" s="43" t="s">
        <v>23</v>
      </c>
      <c r="I4" s="43" t="s">
        <v>9</v>
      </c>
      <c r="J4" s="43" t="s">
        <v>49</v>
      </c>
      <c r="K4" s="43" t="s">
        <v>48</v>
      </c>
      <c r="AB4" s="2" t="s">
        <v>10</v>
      </c>
      <c r="AC4" s="2" t="s">
        <v>11</v>
      </c>
    </row>
    <row r="5" spans="1:29" s="2" customFormat="1" x14ac:dyDescent="0.3">
      <c r="A5" s="43" t="s">
        <v>60</v>
      </c>
      <c r="B5" s="44">
        <v>45919</v>
      </c>
      <c r="C5" s="45">
        <v>1</v>
      </c>
      <c r="D5" s="45">
        <v>0</v>
      </c>
      <c r="E5" s="43" t="s">
        <v>29</v>
      </c>
      <c r="F5" s="46" t="s">
        <v>131</v>
      </c>
      <c r="G5" s="43" t="s">
        <v>7</v>
      </c>
      <c r="H5" s="43" t="s">
        <v>18</v>
      </c>
      <c r="I5" s="43" t="s">
        <v>56</v>
      </c>
      <c r="J5" s="43" t="s">
        <v>61</v>
      </c>
      <c r="K5" s="43" t="s">
        <v>48</v>
      </c>
      <c r="AB5" s="2" t="s">
        <v>14</v>
      </c>
      <c r="AC5" s="2">
        <v>17</v>
      </c>
    </row>
    <row r="6" spans="1:29" s="2" customFormat="1" x14ac:dyDescent="0.3">
      <c r="A6" s="43" t="s">
        <v>62</v>
      </c>
      <c r="B6" s="44">
        <v>45919</v>
      </c>
      <c r="C6" s="45">
        <v>5</v>
      </c>
      <c r="D6" s="45">
        <v>4</v>
      </c>
      <c r="E6" s="43" t="s">
        <v>63</v>
      </c>
      <c r="F6" s="46" t="s">
        <v>131</v>
      </c>
      <c r="G6" s="43" t="s">
        <v>7</v>
      </c>
      <c r="H6" s="43" t="s">
        <v>64</v>
      </c>
      <c r="I6" s="43" t="s">
        <v>9</v>
      </c>
      <c r="J6" s="43" t="s">
        <v>65</v>
      </c>
      <c r="K6" s="43" t="s">
        <v>48</v>
      </c>
      <c r="N6" s="10"/>
      <c r="AB6" s="2" t="s">
        <v>15</v>
      </c>
      <c r="AC6" s="2">
        <v>3</v>
      </c>
    </row>
    <row r="7" spans="1:29" s="2" customFormat="1" x14ac:dyDescent="0.3">
      <c r="A7" s="43" t="s">
        <v>66</v>
      </c>
      <c r="B7" s="44">
        <v>45919</v>
      </c>
      <c r="C7" s="45">
        <v>1</v>
      </c>
      <c r="D7" s="45">
        <v>0</v>
      </c>
      <c r="E7" s="43" t="s">
        <v>67</v>
      </c>
      <c r="F7" s="46" t="s">
        <v>131</v>
      </c>
      <c r="G7" s="43" t="s">
        <v>7</v>
      </c>
      <c r="H7" s="43" t="s">
        <v>68</v>
      </c>
      <c r="I7" s="43" t="s">
        <v>9</v>
      </c>
      <c r="J7" s="43" t="s">
        <v>12</v>
      </c>
      <c r="K7" s="43" t="s">
        <v>24</v>
      </c>
      <c r="N7" s="10"/>
      <c r="V7" s="11"/>
      <c r="AB7" s="2" t="s">
        <v>16</v>
      </c>
      <c r="AC7" s="2">
        <v>4</v>
      </c>
    </row>
    <row r="8" spans="1:29" s="2" customFormat="1" x14ac:dyDescent="0.3">
      <c r="A8" s="43" t="s">
        <v>69</v>
      </c>
      <c r="B8" s="44">
        <v>45957</v>
      </c>
      <c r="C8" s="45">
        <v>1</v>
      </c>
      <c r="D8" s="45">
        <v>0</v>
      </c>
      <c r="E8" s="43" t="s">
        <v>40</v>
      </c>
      <c r="F8" s="43" t="s">
        <v>98</v>
      </c>
      <c r="G8" s="43" t="s">
        <v>7</v>
      </c>
      <c r="H8" s="43" t="s">
        <v>17</v>
      </c>
      <c r="I8" s="43" t="s">
        <v>9</v>
      </c>
      <c r="J8" s="43" t="s">
        <v>70</v>
      </c>
      <c r="K8" s="43" t="s">
        <v>48</v>
      </c>
      <c r="N8" s="10"/>
    </row>
    <row r="9" spans="1:29" s="2" customFormat="1" x14ac:dyDescent="0.3">
      <c r="A9" s="43" t="s">
        <v>71</v>
      </c>
      <c r="B9" s="44">
        <v>46013</v>
      </c>
      <c r="C9" s="45">
        <v>1</v>
      </c>
      <c r="D9" s="45">
        <v>0</v>
      </c>
      <c r="E9" s="43" t="s">
        <v>72</v>
      </c>
      <c r="F9" s="43" t="s">
        <v>98</v>
      </c>
      <c r="G9" s="43" t="s">
        <v>7</v>
      </c>
      <c r="H9" s="43" t="s">
        <v>18</v>
      </c>
      <c r="I9" s="43" t="s">
        <v>56</v>
      </c>
      <c r="J9" s="43" t="s">
        <v>73</v>
      </c>
      <c r="K9" s="43" t="s">
        <v>13</v>
      </c>
      <c r="N9" s="10"/>
    </row>
    <row r="10" spans="1:29" s="2" customFormat="1" x14ac:dyDescent="0.3">
      <c r="A10" s="43" t="s">
        <v>74</v>
      </c>
      <c r="B10" s="44">
        <v>45950</v>
      </c>
      <c r="C10" s="45">
        <v>1</v>
      </c>
      <c r="D10" s="45">
        <v>0</v>
      </c>
      <c r="E10" s="43" t="s">
        <v>75</v>
      </c>
      <c r="F10" s="43" t="s">
        <v>98</v>
      </c>
      <c r="G10" s="43" t="s">
        <v>7</v>
      </c>
      <c r="H10" s="43" t="s">
        <v>76</v>
      </c>
      <c r="I10" s="43" t="s">
        <v>20</v>
      </c>
      <c r="J10" s="43" t="s">
        <v>77</v>
      </c>
      <c r="K10" s="43" t="s">
        <v>13</v>
      </c>
      <c r="N10" s="10"/>
    </row>
    <row r="11" spans="1:29" s="2" customFormat="1" x14ac:dyDescent="0.3">
      <c r="A11" s="43" t="s">
        <v>78</v>
      </c>
      <c r="B11" s="44">
        <v>45938</v>
      </c>
      <c r="C11" s="45">
        <v>3</v>
      </c>
      <c r="D11" s="45">
        <v>2</v>
      </c>
      <c r="E11" s="43" t="s">
        <v>46</v>
      </c>
      <c r="F11" s="46" t="s">
        <v>131</v>
      </c>
      <c r="G11" s="43" t="s">
        <v>7</v>
      </c>
      <c r="H11" s="43" t="s">
        <v>79</v>
      </c>
      <c r="I11" s="43" t="s">
        <v>20</v>
      </c>
      <c r="J11" s="43" t="s">
        <v>80</v>
      </c>
      <c r="K11" s="43" t="s">
        <v>13</v>
      </c>
    </row>
    <row r="12" spans="1:29" s="2" customFormat="1" x14ac:dyDescent="0.3">
      <c r="A12" s="43" t="s">
        <v>81</v>
      </c>
      <c r="B12" s="44">
        <v>45966</v>
      </c>
      <c r="C12" s="45">
        <v>2</v>
      </c>
      <c r="D12" s="45">
        <v>0</v>
      </c>
      <c r="E12" s="43" t="s">
        <v>41</v>
      </c>
      <c r="F12" s="43" t="s">
        <v>98</v>
      </c>
      <c r="G12" s="43" t="s">
        <v>7</v>
      </c>
      <c r="H12" s="43" t="s">
        <v>33</v>
      </c>
      <c r="I12" s="43" t="s">
        <v>20</v>
      </c>
      <c r="J12" s="43" t="s">
        <v>82</v>
      </c>
      <c r="K12" s="43" t="s">
        <v>22</v>
      </c>
    </row>
    <row r="13" spans="1:29" s="2" customFormat="1" x14ac:dyDescent="0.3">
      <c r="A13" s="43" t="s">
        <v>83</v>
      </c>
      <c r="B13" s="44">
        <v>45972</v>
      </c>
      <c r="C13" s="45">
        <v>1</v>
      </c>
      <c r="D13" s="45">
        <v>0</v>
      </c>
      <c r="E13" s="43" t="s">
        <v>84</v>
      </c>
      <c r="F13" s="43" t="s">
        <v>98</v>
      </c>
      <c r="G13" s="43" t="s">
        <v>7</v>
      </c>
      <c r="H13" s="43" t="s">
        <v>33</v>
      </c>
      <c r="I13" s="43" t="s">
        <v>20</v>
      </c>
      <c r="J13" s="43" t="s">
        <v>82</v>
      </c>
      <c r="K13" s="43" t="s">
        <v>22</v>
      </c>
    </row>
    <row r="14" spans="1:29" s="2" customFormat="1" x14ac:dyDescent="0.3">
      <c r="A14" s="43" t="s">
        <v>85</v>
      </c>
      <c r="B14" s="44">
        <v>45971</v>
      </c>
      <c r="C14" s="45">
        <v>1</v>
      </c>
      <c r="D14" s="45">
        <v>0</v>
      </c>
      <c r="E14" s="43" t="s">
        <v>86</v>
      </c>
      <c r="F14" s="43" t="s">
        <v>98</v>
      </c>
      <c r="G14" s="43" t="s">
        <v>7</v>
      </c>
      <c r="H14" s="43" t="s">
        <v>23</v>
      </c>
      <c r="I14" s="43" t="s">
        <v>20</v>
      </c>
      <c r="J14" s="43" t="s">
        <v>42</v>
      </c>
      <c r="K14" s="43" t="s">
        <v>13</v>
      </c>
    </row>
    <row r="15" spans="1:29" s="2" customFormat="1" x14ac:dyDescent="0.3">
      <c r="A15" s="43" t="s">
        <v>87</v>
      </c>
      <c r="B15" s="44">
        <v>45971</v>
      </c>
      <c r="C15" s="45">
        <v>1</v>
      </c>
      <c r="D15" s="45">
        <v>0</v>
      </c>
      <c r="E15" s="43" t="s">
        <v>88</v>
      </c>
      <c r="F15" s="46" t="s">
        <v>131</v>
      </c>
      <c r="G15" s="43" t="s">
        <v>7</v>
      </c>
      <c r="H15" s="43" t="s">
        <v>18</v>
      </c>
      <c r="I15" s="43" t="s">
        <v>56</v>
      </c>
      <c r="J15" s="43" t="s">
        <v>39</v>
      </c>
      <c r="K15" s="43" t="s">
        <v>13</v>
      </c>
    </row>
    <row r="16" spans="1:29" s="2" customFormat="1" x14ac:dyDescent="0.3">
      <c r="A16" s="43" t="s">
        <v>89</v>
      </c>
      <c r="B16" s="44">
        <v>45982</v>
      </c>
      <c r="C16" s="45">
        <v>1</v>
      </c>
      <c r="D16" s="45">
        <v>0</v>
      </c>
      <c r="E16" s="43" t="s">
        <v>90</v>
      </c>
      <c r="F16" s="43" t="s">
        <v>98</v>
      </c>
      <c r="G16" s="43" t="s">
        <v>7</v>
      </c>
      <c r="H16" s="43" t="s">
        <v>64</v>
      </c>
      <c r="I16" s="43" t="s">
        <v>9</v>
      </c>
      <c r="J16" s="43" t="s">
        <v>26</v>
      </c>
      <c r="K16" s="43" t="s">
        <v>91</v>
      </c>
    </row>
    <row r="17" spans="1:11" s="2" customFormat="1" x14ac:dyDescent="0.3">
      <c r="A17" s="43" t="s">
        <v>92</v>
      </c>
      <c r="B17" s="44">
        <v>45971</v>
      </c>
      <c r="C17" s="45">
        <v>1</v>
      </c>
      <c r="D17" s="45">
        <v>0</v>
      </c>
      <c r="E17" s="43" t="s">
        <v>93</v>
      </c>
      <c r="F17" s="43" t="s">
        <v>98</v>
      </c>
      <c r="G17" s="43" t="s">
        <v>7</v>
      </c>
      <c r="H17" s="43" t="s">
        <v>94</v>
      </c>
      <c r="I17" s="43" t="s">
        <v>9</v>
      </c>
      <c r="J17" s="43" t="s">
        <v>95</v>
      </c>
      <c r="K17" s="43" t="s">
        <v>91</v>
      </c>
    </row>
    <row r="18" spans="1:11" s="2" customFormat="1" x14ac:dyDescent="0.3">
      <c r="A18" s="43" t="s">
        <v>96</v>
      </c>
      <c r="B18" s="44">
        <v>45974</v>
      </c>
      <c r="C18" s="45">
        <v>1</v>
      </c>
      <c r="D18" s="45">
        <v>0</v>
      </c>
      <c r="E18" s="43" t="s">
        <v>97</v>
      </c>
      <c r="F18" s="43" t="s">
        <v>98</v>
      </c>
      <c r="G18" s="43" t="s">
        <v>7</v>
      </c>
      <c r="H18" s="43" t="s">
        <v>23</v>
      </c>
      <c r="I18" s="43" t="s">
        <v>9</v>
      </c>
      <c r="J18" s="43" t="s">
        <v>95</v>
      </c>
      <c r="K18" s="43" t="s">
        <v>13</v>
      </c>
    </row>
    <row r="19" spans="1:11" s="2" customFormat="1" x14ac:dyDescent="0.3">
      <c r="A19" s="43" t="s">
        <v>99</v>
      </c>
      <c r="B19" s="44">
        <v>45972</v>
      </c>
      <c r="C19" s="45">
        <v>1</v>
      </c>
      <c r="D19" s="45">
        <v>0</v>
      </c>
      <c r="E19" s="43" t="s">
        <v>166</v>
      </c>
      <c r="F19" s="43" t="s">
        <v>98</v>
      </c>
      <c r="G19" s="43" t="s">
        <v>7</v>
      </c>
      <c r="H19" s="43" t="s">
        <v>44</v>
      </c>
      <c r="I19" s="43" t="s">
        <v>20</v>
      </c>
      <c r="J19" s="43" t="s">
        <v>166</v>
      </c>
      <c r="K19" s="43" t="s">
        <v>13</v>
      </c>
    </row>
    <row r="20" spans="1:11" s="2" customFormat="1" x14ac:dyDescent="0.3">
      <c r="A20" s="43" t="s">
        <v>100</v>
      </c>
      <c r="B20" s="44">
        <v>46014</v>
      </c>
      <c r="C20" s="45">
        <v>1</v>
      </c>
      <c r="D20" s="45">
        <v>0</v>
      </c>
      <c r="E20" s="43" t="s">
        <v>101</v>
      </c>
      <c r="F20" s="43" t="s">
        <v>98</v>
      </c>
      <c r="G20" s="43" t="s">
        <v>7</v>
      </c>
      <c r="H20" s="43" t="s">
        <v>102</v>
      </c>
      <c r="I20" s="43" t="s">
        <v>20</v>
      </c>
      <c r="J20" s="43" t="s">
        <v>103</v>
      </c>
      <c r="K20" s="43" t="s">
        <v>21</v>
      </c>
    </row>
    <row r="21" spans="1:11" s="2" customFormat="1" x14ac:dyDescent="0.3">
      <c r="A21" s="43" t="s">
        <v>104</v>
      </c>
      <c r="B21" s="44">
        <v>46013</v>
      </c>
      <c r="C21" s="45">
        <v>3</v>
      </c>
      <c r="D21" s="45">
        <v>1</v>
      </c>
      <c r="E21" s="43" t="s">
        <v>25</v>
      </c>
      <c r="F21" s="46" t="s">
        <v>131</v>
      </c>
      <c r="G21" s="43" t="s">
        <v>7</v>
      </c>
      <c r="H21" s="43" t="s">
        <v>18</v>
      </c>
      <c r="I21" s="43" t="s">
        <v>56</v>
      </c>
      <c r="J21" s="43" t="s">
        <v>105</v>
      </c>
      <c r="K21" s="43" t="s">
        <v>43</v>
      </c>
    </row>
    <row r="22" spans="1:11" s="2" customFormat="1" x14ac:dyDescent="0.3">
      <c r="A22" s="43" t="s">
        <v>106</v>
      </c>
      <c r="B22" s="44">
        <v>46006</v>
      </c>
      <c r="C22" s="45">
        <v>1</v>
      </c>
      <c r="D22" s="45">
        <v>0</v>
      </c>
      <c r="E22" s="43" t="s">
        <v>107</v>
      </c>
      <c r="F22" s="46" t="s">
        <v>131</v>
      </c>
      <c r="G22" s="43" t="s">
        <v>7</v>
      </c>
      <c r="H22" s="43" t="s">
        <v>18</v>
      </c>
      <c r="I22" s="43" t="s">
        <v>56</v>
      </c>
      <c r="J22" s="43" t="s">
        <v>50</v>
      </c>
      <c r="K22" s="43" t="s">
        <v>43</v>
      </c>
    </row>
    <row r="23" spans="1:11" s="2" customFormat="1" ht="15" customHeight="1" x14ac:dyDescent="0.3">
      <c r="A23" s="43" t="s">
        <v>108</v>
      </c>
      <c r="B23" s="44">
        <v>45985</v>
      </c>
      <c r="C23" s="45">
        <v>1</v>
      </c>
      <c r="D23" s="45">
        <v>0</v>
      </c>
      <c r="E23" s="43" t="s">
        <v>109</v>
      </c>
      <c r="F23" s="43" t="s">
        <v>98</v>
      </c>
      <c r="G23" s="43" t="s">
        <v>7</v>
      </c>
      <c r="H23" s="43" t="s">
        <v>110</v>
      </c>
      <c r="I23" s="43" t="s">
        <v>20</v>
      </c>
      <c r="J23" s="43" t="s">
        <v>111</v>
      </c>
      <c r="K23" s="43" t="s">
        <v>24</v>
      </c>
    </row>
    <row r="24" spans="1:11" s="2" customFormat="1" ht="13.95" customHeight="1" x14ac:dyDescent="0.3">
      <c r="A24" s="43" t="s">
        <v>112</v>
      </c>
      <c r="B24" s="44">
        <v>45982</v>
      </c>
      <c r="C24" s="45">
        <v>9</v>
      </c>
      <c r="D24" s="45">
        <v>2</v>
      </c>
      <c r="E24" s="43" t="s">
        <v>29</v>
      </c>
      <c r="F24" s="46" t="s">
        <v>131</v>
      </c>
      <c r="G24" s="43" t="s">
        <v>7</v>
      </c>
      <c r="H24" s="43" t="s">
        <v>113</v>
      </c>
      <c r="I24" s="43" t="s">
        <v>9</v>
      </c>
      <c r="J24" s="43" t="s">
        <v>65</v>
      </c>
      <c r="K24" s="43" t="s">
        <v>48</v>
      </c>
    </row>
    <row r="25" spans="1:11" s="2" customFormat="1" x14ac:dyDescent="0.3">
      <c r="A25" s="43" t="s">
        <v>114</v>
      </c>
      <c r="B25" s="44">
        <v>45993</v>
      </c>
      <c r="C25" s="45">
        <v>2</v>
      </c>
      <c r="D25" s="45">
        <v>0</v>
      </c>
      <c r="E25" s="43" t="s">
        <v>115</v>
      </c>
      <c r="F25" s="43" t="s">
        <v>98</v>
      </c>
      <c r="G25" s="43" t="s">
        <v>7</v>
      </c>
      <c r="H25" s="43" t="s">
        <v>17</v>
      </c>
      <c r="I25" s="43" t="s">
        <v>9</v>
      </c>
      <c r="J25" s="43" t="s">
        <v>70</v>
      </c>
      <c r="K25" s="43" t="s">
        <v>91</v>
      </c>
    </row>
    <row r="26" spans="1:11" s="2" customFormat="1" x14ac:dyDescent="0.3">
      <c r="A26" s="43" t="s">
        <v>116</v>
      </c>
      <c r="B26" s="44">
        <v>45995</v>
      </c>
      <c r="C26" s="45">
        <v>1</v>
      </c>
      <c r="D26" s="45">
        <v>0</v>
      </c>
      <c r="E26" s="43" t="s">
        <v>54</v>
      </c>
      <c r="F26" s="46" t="s">
        <v>131</v>
      </c>
      <c r="G26" s="43" t="s">
        <v>7</v>
      </c>
      <c r="H26" s="43" t="s">
        <v>47</v>
      </c>
      <c r="I26" s="43" t="s">
        <v>9</v>
      </c>
      <c r="J26" s="43" t="s">
        <v>117</v>
      </c>
      <c r="K26" s="43" t="s">
        <v>118</v>
      </c>
    </row>
    <row r="27" spans="1:11" s="2" customFormat="1" x14ac:dyDescent="0.3">
      <c r="A27" s="43" t="s">
        <v>119</v>
      </c>
      <c r="B27" s="44">
        <v>46013</v>
      </c>
      <c r="C27" s="45">
        <v>1</v>
      </c>
      <c r="D27" s="45">
        <v>0</v>
      </c>
      <c r="E27" s="43" t="s">
        <v>120</v>
      </c>
      <c r="F27" s="46" t="s">
        <v>131</v>
      </c>
      <c r="G27" s="43" t="s">
        <v>7</v>
      </c>
      <c r="H27" s="43" t="s">
        <v>18</v>
      </c>
      <c r="I27" s="43" t="s">
        <v>56</v>
      </c>
      <c r="J27" s="43" t="s">
        <v>121</v>
      </c>
      <c r="K27" s="43" t="s">
        <v>22</v>
      </c>
    </row>
    <row r="28" spans="1:11" s="2" customFormat="1" ht="15" hidden="1" customHeight="1" x14ac:dyDescent="0.3">
      <c r="A28" s="43" t="s">
        <v>122</v>
      </c>
      <c r="B28" s="44">
        <v>46006</v>
      </c>
      <c r="C28" s="45">
        <v>2</v>
      </c>
      <c r="D28" s="45">
        <v>0</v>
      </c>
      <c r="E28" s="43" t="s">
        <v>123</v>
      </c>
      <c r="F28" s="43" t="s">
        <v>124</v>
      </c>
      <c r="G28" s="43" t="s">
        <v>7</v>
      </c>
      <c r="H28" s="43" t="s">
        <v>33</v>
      </c>
      <c r="I28" s="43" t="s">
        <v>20</v>
      </c>
      <c r="J28" s="43" t="s">
        <v>121</v>
      </c>
      <c r="K28" s="43" t="s">
        <v>13</v>
      </c>
    </row>
    <row r="29" spans="1:11" s="2" customFormat="1" x14ac:dyDescent="0.3">
      <c r="A29" s="43" t="s">
        <v>125</v>
      </c>
      <c r="B29" s="44">
        <v>46006</v>
      </c>
      <c r="C29" s="45">
        <v>1</v>
      </c>
      <c r="D29" s="45">
        <v>0</v>
      </c>
      <c r="E29" s="43" t="s">
        <v>126</v>
      </c>
      <c r="F29" s="46" t="s">
        <v>131</v>
      </c>
      <c r="G29" s="43" t="s">
        <v>7</v>
      </c>
      <c r="H29" s="43" t="s">
        <v>18</v>
      </c>
      <c r="I29" s="43" t="s">
        <v>56</v>
      </c>
      <c r="J29" s="43" t="s">
        <v>127</v>
      </c>
      <c r="K29" s="43" t="s">
        <v>22</v>
      </c>
    </row>
    <row r="30" spans="1:11" s="2" customFormat="1" x14ac:dyDescent="0.3">
      <c r="A30" s="43" t="s">
        <v>128</v>
      </c>
      <c r="B30" s="44">
        <v>46013</v>
      </c>
      <c r="C30" s="45">
        <v>1</v>
      </c>
      <c r="D30" s="45">
        <v>0</v>
      </c>
      <c r="E30" s="43" t="s">
        <v>129</v>
      </c>
      <c r="F30" s="43" t="s">
        <v>98</v>
      </c>
      <c r="G30" s="43" t="s">
        <v>7</v>
      </c>
      <c r="H30" s="43" t="s">
        <v>64</v>
      </c>
      <c r="I30" s="43" t="s">
        <v>20</v>
      </c>
      <c r="J30" s="43" t="s">
        <v>65</v>
      </c>
      <c r="K30" s="43" t="s">
        <v>48</v>
      </c>
    </row>
    <row r="31" spans="1:11" s="2" customFormat="1" x14ac:dyDescent="0.3">
      <c r="A31" s="43" t="s">
        <v>130</v>
      </c>
      <c r="B31" s="44">
        <v>45995</v>
      </c>
      <c r="C31" s="45">
        <v>1</v>
      </c>
      <c r="D31" s="45">
        <v>0</v>
      </c>
      <c r="E31" s="43" t="s">
        <v>30</v>
      </c>
      <c r="F31" s="46" t="s">
        <v>131</v>
      </c>
      <c r="G31" s="43" t="s">
        <v>7</v>
      </c>
      <c r="H31" s="43" t="s">
        <v>8</v>
      </c>
      <c r="I31" s="43" t="s">
        <v>20</v>
      </c>
      <c r="J31" s="43" t="s">
        <v>12</v>
      </c>
      <c r="K31" s="43" t="s">
        <v>24</v>
      </c>
    </row>
    <row r="32" spans="1:11" s="2" customFormat="1" x14ac:dyDescent="0.3">
      <c r="A32" s="43" t="s">
        <v>132</v>
      </c>
      <c r="B32" s="44">
        <v>46014</v>
      </c>
      <c r="C32" s="45">
        <v>1</v>
      </c>
      <c r="D32" s="45">
        <v>0</v>
      </c>
      <c r="E32" s="43" t="s">
        <v>133</v>
      </c>
      <c r="F32" s="43" t="s">
        <v>98</v>
      </c>
      <c r="G32" s="43" t="s">
        <v>7</v>
      </c>
      <c r="H32" s="43" t="s">
        <v>18</v>
      </c>
      <c r="I32" s="43" t="s">
        <v>56</v>
      </c>
      <c r="J32" s="43" t="s">
        <v>134</v>
      </c>
      <c r="K32" s="43" t="s">
        <v>13</v>
      </c>
    </row>
    <row r="33" spans="1:19" s="2" customFormat="1" x14ac:dyDescent="0.3">
      <c r="A33" s="43" t="s">
        <v>135</v>
      </c>
      <c r="B33" s="44">
        <v>46020</v>
      </c>
      <c r="C33" s="45">
        <v>1</v>
      </c>
      <c r="D33" s="45">
        <v>0</v>
      </c>
      <c r="E33" s="43" t="s">
        <v>136</v>
      </c>
      <c r="F33" s="43" t="s">
        <v>98</v>
      </c>
      <c r="G33" s="43" t="s">
        <v>7</v>
      </c>
      <c r="H33" s="43" t="s">
        <v>23</v>
      </c>
      <c r="I33" s="43" t="s">
        <v>9</v>
      </c>
      <c r="J33" s="43" t="s">
        <v>137</v>
      </c>
      <c r="K33" s="43" t="s">
        <v>13</v>
      </c>
    </row>
    <row r="34" spans="1:19" s="2" customFormat="1" x14ac:dyDescent="0.3">
      <c r="A34" s="43" t="s">
        <v>138</v>
      </c>
      <c r="B34" s="44">
        <v>46006</v>
      </c>
      <c r="C34" s="45">
        <v>5</v>
      </c>
      <c r="D34" s="45">
        <v>0</v>
      </c>
      <c r="E34" s="43" t="s">
        <v>45</v>
      </c>
      <c r="F34" s="46" t="s">
        <v>131</v>
      </c>
      <c r="G34" s="43" t="s">
        <v>7</v>
      </c>
      <c r="H34" s="43" t="s">
        <v>139</v>
      </c>
      <c r="I34" s="43" t="s">
        <v>20</v>
      </c>
      <c r="J34" s="43" t="s">
        <v>140</v>
      </c>
      <c r="K34" s="43" t="s">
        <v>22</v>
      </c>
    </row>
    <row r="35" spans="1:19" s="2" customFormat="1" x14ac:dyDescent="0.3">
      <c r="A35" s="43" t="s">
        <v>141</v>
      </c>
      <c r="B35" s="44">
        <v>46006</v>
      </c>
      <c r="C35" s="45">
        <v>4</v>
      </c>
      <c r="D35" s="45">
        <v>0</v>
      </c>
      <c r="E35" s="43" t="s">
        <v>142</v>
      </c>
      <c r="F35" s="46" t="s">
        <v>131</v>
      </c>
      <c r="G35" s="43" t="s">
        <v>7</v>
      </c>
      <c r="H35" s="43" t="s">
        <v>139</v>
      </c>
      <c r="I35" s="43" t="s">
        <v>20</v>
      </c>
      <c r="J35" s="43" t="s">
        <v>140</v>
      </c>
      <c r="K35" s="43" t="s">
        <v>33</v>
      </c>
    </row>
    <row r="36" spans="1:19" s="2" customFormat="1" x14ac:dyDescent="0.3">
      <c r="A36" s="43" t="s">
        <v>143</v>
      </c>
      <c r="B36" s="44">
        <v>46014</v>
      </c>
      <c r="C36" s="45">
        <v>2</v>
      </c>
      <c r="D36" s="45">
        <v>1</v>
      </c>
      <c r="E36" s="43" t="s">
        <v>29</v>
      </c>
      <c r="F36" s="46" t="s">
        <v>131</v>
      </c>
      <c r="G36" s="43" t="s">
        <v>7</v>
      </c>
      <c r="H36" s="43" t="s">
        <v>18</v>
      </c>
      <c r="I36" s="43" t="s">
        <v>56</v>
      </c>
      <c r="J36" s="43" t="s">
        <v>140</v>
      </c>
      <c r="K36" s="43" t="s">
        <v>22</v>
      </c>
    </row>
    <row r="37" spans="1:19" s="2" customFormat="1" x14ac:dyDescent="0.3">
      <c r="A37" s="43" t="s">
        <v>144</v>
      </c>
      <c r="B37" s="44">
        <v>46013</v>
      </c>
      <c r="C37" s="45">
        <v>1</v>
      </c>
      <c r="D37" s="45">
        <v>0</v>
      </c>
      <c r="E37" s="43" t="s">
        <v>25</v>
      </c>
      <c r="F37" s="46" t="s">
        <v>131</v>
      </c>
      <c r="G37" s="43" t="s">
        <v>7</v>
      </c>
      <c r="H37" s="43" t="s">
        <v>17</v>
      </c>
      <c r="I37" s="43" t="s">
        <v>9</v>
      </c>
      <c r="J37" s="43" t="s">
        <v>145</v>
      </c>
      <c r="K37" s="43" t="s">
        <v>24</v>
      </c>
    </row>
    <row r="38" spans="1:19" s="2" customFormat="1" x14ac:dyDescent="0.3">
      <c r="A38" s="43" t="s">
        <v>146</v>
      </c>
      <c r="B38" s="44">
        <v>46013</v>
      </c>
      <c r="C38" s="45">
        <v>1</v>
      </c>
      <c r="D38" s="45">
        <v>0</v>
      </c>
      <c r="E38" s="43" t="s">
        <v>147</v>
      </c>
      <c r="F38" s="43" t="s">
        <v>98</v>
      </c>
      <c r="G38" s="43" t="s">
        <v>7</v>
      </c>
      <c r="H38" s="43" t="s">
        <v>148</v>
      </c>
      <c r="I38" s="43" t="s">
        <v>9</v>
      </c>
      <c r="J38" s="43" t="s">
        <v>149</v>
      </c>
      <c r="K38" s="43" t="s">
        <v>13</v>
      </c>
    </row>
    <row r="39" spans="1:19" s="2" customFormat="1" x14ac:dyDescent="0.3">
      <c r="A39" s="43" t="s">
        <v>150</v>
      </c>
      <c r="B39" s="44">
        <v>46013</v>
      </c>
      <c r="C39" s="45">
        <v>1</v>
      </c>
      <c r="D39" s="45">
        <v>0</v>
      </c>
      <c r="E39" s="43" t="s">
        <v>151</v>
      </c>
      <c r="F39" s="43" t="s">
        <v>98</v>
      </c>
      <c r="G39" s="43" t="s">
        <v>7</v>
      </c>
      <c r="H39" s="43" t="s">
        <v>148</v>
      </c>
      <c r="I39" s="43" t="s">
        <v>9</v>
      </c>
      <c r="J39" s="43" t="s">
        <v>149</v>
      </c>
      <c r="K39" s="43" t="s">
        <v>13</v>
      </c>
    </row>
    <row r="40" spans="1:19" s="2" customFormat="1" x14ac:dyDescent="0.3">
      <c r="A40" s="43" t="s">
        <v>152</v>
      </c>
      <c r="B40" s="44">
        <v>46006</v>
      </c>
      <c r="C40" s="45">
        <v>1</v>
      </c>
      <c r="D40" s="45">
        <v>0</v>
      </c>
      <c r="E40" s="43" t="s">
        <v>153</v>
      </c>
      <c r="F40" s="46" t="s">
        <v>131</v>
      </c>
      <c r="G40" s="43" t="s">
        <v>7</v>
      </c>
      <c r="H40" s="43" t="s">
        <v>33</v>
      </c>
      <c r="I40" s="43" t="s">
        <v>20</v>
      </c>
      <c r="J40" s="43" t="s">
        <v>77</v>
      </c>
      <c r="K40" s="43" t="s">
        <v>13</v>
      </c>
    </row>
    <row r="41" spans="1:19" s="2" customFormat="1" ht="14.25" customHeight="1" x14ac:dyDescent="0.3">
      <c r="A41" s="43" t="s">
        <v>154</v>
      </c>
      <c r="B41" s="44">
        <v>46015</v>
      </c>
      <c r="C41" s="45">
        <v>1</v>
      </c>
      <c r="D41" s="45">
        <v>0</v>
      </c>
      <c r="E41" s="43" t="s">
        <v>155</v>
      </c>
      <c r="F41" s="43" t="s">
        <v>98</v>
      </c>
      <c r="G41" s="43" t="s">
        <v>7</v>
      </c>
      <c r="H41" s="43" t="s">
        <v>47</v>
      </c>
      <c r="I41" s="43" t="s">
        <v>9</v>
      </c>
      <c r="J41" s="43" t="s">
        <v>156</v>
      </c>
      <c r="K41" s="43" t="s">
        <v>13</v>
      </c>
    </row>
    <row r="42" spans="1:19" s="2" customFormat="1" ht="14.25" customHeight="1" x14ac:dyDescent="0.3">
      <c r="A42" s="43" t="s">
        <v>157</v>
      </c>
      <c r="B42" s="44">
        <v>46020</v>
      </c>
      <c r="C42" s="45">
        <v>1</v>
      </c>
      <c r="D42" s="45">
        <v>0</v>
      </c>
      <c r="E42" s="43" t="s">
        <v>158</v>
      </c>
      <c r="F42" s="43" t="s">
        <v>98</v>
      </c>
      <c r="G42" s="43" t="s">
        <v>7</v>
      </c>
      <c r="H42" s="43" t="s">
        <v>17</v>
      </c>
      <c r="I42" s="43" t="s">
        <v>9</v>
      </c>
      <c r="J42" s="43" t="s">
        <v>159</v>
      </c>
      <c r="K42" s="43" t="s">
        <v>28</v>
      </c>
    </row>
    <row r="43" spans="1:19" x14ac:dyDescent="0.3">
      <c r="A43" s="43" t="s">
        <v>160</v>
      </c>
      <c r="B43" s="44">
        <v>46020</v>
      </c>
      <c r="C43" s="45">
        <v>1</v>
      </c>
      <c r="D43" s="45">
        <v>0</v>
      </c>
      <c r="E43" s="43" t="s">
        <v>161</v>
      </c>
      <c r="F43" s="46" t="s">
        <v>131</v>
      </c>
      <c r="G43" s="43" t="s">
        <v>7</v>
      </c>
      <c r="H43" s="43" t="s">
        <v>18</v>
      </c>
      <c r="I43" s="43" t="s">
        <v>56</v>
      </c>
      <c r="J43" s="43" t="s">
        <v>137</v>
      </c>
      <c r="K43" s="43" t="s">
        <v>13</v>
      </c>
    </row>
    <row r="44" spans="1:19" x14ac:dyDescent="0.3">
      <c r="A44" s="43" t="s">
        <v>162</v>
      </c>
      <c r="B44" s="44">
        <v>46019</v>
      </c>
      <c r="C44" s="45">
        <v>1</v>
      </c>
      <c r="D44" s="45">
        <v>0</v>
      </c>
      <c r="E44" s="43" t="s">
        <v>166</v>
      </c>
      <c r="F44" s="46" t="s">
        <v>131</v>
      </c>
      <c r="G44" s="43" t="s">
        <v>7</v>
      </c>
      <c r="H44" s="43" t="s">
        <v>33</v>
      </c>
      <c r="I44" s="43" t="s">
        <v>20</v>
      </c>
      <c r="J44" s="43" t="s">
        <v>166</v>
      </c>
      <c r="K44" s="43" t="s">
        <v>13</v>
      </c>
    </row>
    <row r="45" spans="1:19" x14ac:dyDescent="0.3">
      <c r="A45" s="43" t="s">
        <v>163</v>
      </c>
      <c r="B45" s="44">
        <v>46023</v>
      </c>
      <c r="C45" s="45">
        <v>1</v>
      </c>
      <c r="D45" s="45">
        <v>0</v>
      </c>
      <c r="E45" s="43" t="s">
        <v>164</v>
      </c>
      <c r="F45" s="43" t="s">
        <v>98</v>
      </c>
      <c r="G45" s="43" t="s">
        <v>7</v>
      </c>
      <c r="H45" s="43" t="s">
        <v>33</v>
      </c>
      <c r="I45" s="43" t="s">
        <v>20</v>
      </c>
      <c r="J45" s="43" t="s">
        <v>165</v>
      </c>
      <c r="K45" s="43" t="s">
        <v>13</v>
      </c>
      <c r="P45" s="3"/>
      <c r="Q45" s="3"/>
      <c r="R45" s="4"/>
      <c r="S45" s="4"/>
    </row>
    <row r="46" spans="1:19" ht="15" thickBot="1" x14ac:dyDescent="0.35">
      <c r="A46" s="40"/>
      <c r="B46" s="41"/>
      <c r="C46" s="42"/>
      <c r="D46" s="42"/>
      <c r="E46" s="40"/>
      <c r="F46" s="40"/>
      <c r="G46" s="40"/>
      <c r="H46" s="40"/>
      <c r="I46" s="40"/>
      <c r="J46" s="40"/>
      <c r="K46" s="40"/>
      <c r="P46" s="3"/>
      <c r="Q46" s="3"/>
      <c r="R46" s="4"/>
      <c r="S46" s="4"/>
    </row>
    <row r="47" spans="1:19" ht="15" thickBot="1" x14ac:dyDescent="0.35">
      <c r="B47" s="34" t="s">
        <v>31</v>
      </c>
      <c r="C47" s="12">
        <f>SUM(C4:C45)-SUM(D4:D45)</f>
        <v>62</v>
      </c>
      <c r="D47" s="29"/>
      <c r="F47" s="35" t="s">
        <v>57</v>
      </c>
      <c r="G47" s="36">
        <f>COUNTIF(I4:I45,"Pending")</f>
        <v>10</v>
      </c>
      <c r="I47" s="38" t="s">
        <v>58</v>
      </c>
      <c r="J47" s="39">
        <f>C47-G47</f>
        <v>52</v>
      </c>
    </row>
    <row r="48" spans="1:19" x14ac:dyDescent="0.3">
      <c r="G48" s="3"/>
      <c r="H48" s="4"/>
      <c r="I48" s="3"/>
    </row>
    <row r="49" spans="1:11" x14ac:dyDescent="0.3">
      <c r="D49" s="13"/>
    </row>
    <row r="50" spans="1:11" s="6" customFormat="1" ht="28.8" x14ac:dyDescent="0.3">
      <c r="A50" s="28" t="s">
        <v>0</v>
      </c>
      <c r="B50" s="28" t="s">
        <v>1</v>
      </c>
      <c r="C50" s="28" t="s">
        <v>2</v>
      </c>
      <c r="D50" s="28" t="s">
        <v>3</v>
      </c>
      <c r="E50" s="28" t="s">
        <v>4</v>
      </c>
      <c r="F50" s="28" t="s">
        <v>51</v>
      </c>
      <c r="G50" s="28" t="s">
        <v>52</v>
      </c>
      <c r="H50" s="28" t="s">
        <v>5</v>
      </c>
      <c r="I50" s="28" t="s">
        <v>53</v>
      </c>
      <c r="J50" s="28" t="s">
        <v>27</v>
      </c>
      <c r="K50" s="28" t="s">
        <v>6</v>
      </c>
    </row>
    <row r="51" spans="1:11" customFormat="1" x14ac:dyDescent="0.3">
      <c r="A51" s="43" t="s">
        <v>167</v>
      </c>
      <c r="B51" s="44">
        <v>46013</v>
      </c>
      <c r="C51" s="45">
        <v>1</v>
      </c>
      <c r="D51" s="45">
        <v>0</v>
      </c>
      <c r="E51" s="43" t="s">
        <v>168</v>
      </c>
      <c r="F51" s="43" t="s">
        <v>169</v>
      </c>
      <c r="G51" s="43" t="s">
        <v>32</v>
      </c>
      <c r="H51" s="43" t="s">
        <v>148</v>
      </c>
      <c r="I51" s="43" t="s">
        <v>20</v>
      </c>
      <c r="J51" s="43" t="s">
        <v>105</v>
      </c>
      <c r="K51" s="43" t="s">
        <v>43</v>
      </c>
    </row>
    <row r="52" spans="1:11" s="14" customFormat="1" x14ac:dyDescent="0.3">
      <c r="A52" s="43" t="s">
        <v>170</v>
      </c>
      <c r="B52" s="44">
        <v>46013</v>
      </c>
      <c r="C52" s="45">
        <v>1</v>
      </c>
      <c r="D52" s="45">
        <v>0</v>
      </c>
      <c r="E52" s="43" t="s">
        <v>171</v>
      </c>
      <c r="F52" s="43" t="s">
        <v>169</v>
      </c>
      <c r="G52" s="43" t="s">
        <v>32</v>
      </c>
      <c r="H52" s="43" t="s">
        <v>148</v>
      </c>
      <c r="I52" s="43" t="s">
        <v>20</v>
      </c>
      <c r="J52" s="43" t="s">
        <v>105</v>
      </c>
      <c r="K52" s="43" t="s">
        <v>19</v>
      </c>
    </row>
    <row r="53" spans="1:11" s="14" customFormat="1" hidden="1" x14ac:dyDescent="0.3">
      <c r="A53" s="7"/>
      <c r="B53" s="8"/>
      <c r="C53" s="9"/>
      <c r="D53" s="9"/>
      <c r="E53" s="7"/>
      <c r="F53" s="7"/>
      <c r="G53" s="7"/>
      <c r="H53" s="7"/>
      <c r="I53" s="7"/>
      <c r="J53" s="7"/>
      <c r="K53" s="7"/>
    </row>
    <row r="54" spans="1:11" s="14" customFormat="1" ht="15" hidden="1" customHeight="1" x14ac:dyDescent="0.3">
      <c r="A54" s="7"/>
      <c r="B54" s="8"/>
      <c r="C54" s="9"/>
      <c r="D54" s="9"/>
      <c r="E54" s="7"/>
      <c r="F54" s="7"/>
      <c r="G54" s="7"/>
      <c r="H54" s="7"/>
      <c r="I54" s="7"/>
      <c r="J54" s="7"/>
      <c r="K54" s="31"/>
    </row>
    <row r="55" spans="1:11" s="14" customFormat="1" ht="15" hidden="1" customHeight="1" x14ac:dyDescent="0.3">
      <c r="A55" s="15"/>
      <c r="B55" s="16"/>
      <c r="C55" s="17"/>
      <c r="D55" s="17"/>
      <c r="E55" s="15"/>
      <c r="F55" s="15"/>
      <c r="G55" s="15"/>
      <c r="H55" s="15"/>
      <c r="I55" s="15"/>
      <c r="J55" s="15"/>
      <c r="K55" s="31"/>
    </row>
    <row r="56" spans="1:11" s="18" customFormat="1" ht="15" hidden="1" customHeight="1" x14ac:dyDescent="0.3">
      <c r="A56" s="15"/>
      <c r="B56" s="16"/>
      <c r="C56" s="17"/>
      <c r="D56" s="17"/>
      <c r="E56" s="15"/>
      <c r="F56" s="15"/>
      <c r="G56" s="15"/>
      <c r="H56" s="15"/>
      <c r="I56" s="15"/>
      <c r="J56" s="15"/>
      <c r="K56" s="32"/>
    </row>
    <row r="57" spans="1:11" s="18" customFormat="1" ht="15" hidden="1" customHeight="1" x14ac:dyDescent="0.3">
      <c r="A57" s="19"/>
      <c r="B57" s="20"/>
      <c r="C57" s="21"/>
      <c r="D57" s="21"/>
      <c r="E57" s="19"/>
      <c r="F57" s="19"/>
      <c r="G57" s="19"/>
      <c r="H57" s="19"/>
      <c r="I57" s="19"/>
      <c r="J57" s="19"/>
      <c r="K57" s="32"/>
    </row>
    <row r="58" spans="1:11" s="18" customFormat="1" ht="15" hidden="1" customHeight="1" x14ac:dyDescent="0.3">
      <c r="A58" s="19"/>
      <c r="B58" s="20"/>
      <c r="C58" s="21"/>
      <c r="D58" s="21"/>
      <c r="E58" s="19"/>
      <c r="F58" s="19"/>
      <c r="G58" s="19"/>
      <c r="H58" s="19"/>
      <c r="I58" s="19"/>
      <c r="J58" s="19"/>
      <c r="K58" s="32"/>
    </row>
    <row r="59" spans="1:11" s="18" customFormat="1" ht="15" hidden="1" customHeight="1" x14ac:dyDescent="0.3">
      <c r="A59" s="19"/>
      <c r="B59" s="20"/>
      <c r="C59" s="21"/>
      <c r="D59" s="21"/>
      <c r="E59" s="19"/>
      <c r="F59" s="19"/>
      <c r="G59" s="19"/>
      <c r="H59" s="19"/>
      <c r="I59" s="19"/>
      <c r="J59" s="19"/>
      <c r="K59" s="32"/>
    </row>
    <row r="60" spans="1:11" s="18" customFormat="1" ht="15" hidden="1" customHeight="1" x14ac:dyDescent="0.3">
      <c r="A60" s="47"/>
      <c r="B60" s="48"/>
      <c r="C60" s="49"/>
      <c r="D60" s="49"/>
      <c r="E60" s="47"/>
      <c r="F60" s="47"/>
      <c r="G60" s="47"/>
      <c r="H60" s="47"/>
      <c r="I60" s="47"/>
      <c r="J60" s="47"/>
      <c r="K60" s="50"/>
    </row>
    <row r="61" spans="1:11" x14ac:dyDescent="0.3">
      <c r="A61" s="51"/>
      <c r="B61" s="52"/>
      <c r="C61" s="53"/>
      <c r="D61" s="53"/>
      <c r="E61" s="51"/>
      <c r="F61" s="51"/>
      <c r="G61" s="51"/>
      <c r="H61" s="51"/>
      <c r="I61" s="51"/>
      <c r="J61" s="51"/>
      <c r="K61" s="2"/>
    </row>
    <row r="62" spans="1:11" ht="15" thickBot="1" x14ac:dyDescent="0.35">
      <c r="B62" s="33" t="s">
        <v>34</v>
      </c>
      <c r="C62" s="30">
        <f>SUM(C51:C53)-SUM(D51:D53)</f>
        <v>2</v>
      </c>
      <c r="E62" s="2"/>
      <c r="F62" s="2"/>
      <c r="H62" s="2"/>
      <c r="J62" s="2"/>
      <c r="K62" s="2"/>
    </row>
    <row r="63" spans="1:11" x14ac:dyDescent="0.3">
      <c r="E63" s="2"/>
      <c r="F63" s="2"/>
      <c r="H63" s="2"/>
      <c r="J63" s="2"/>
      <c r="K63" s="2"/>
    </row>
    <row r="64" spans="1:11" x14ac:dyDescent="0.3">
      <c r="E64" s="2"/>
      <c r="F64" s="2"/>
      <c r="H64" s="2"/>
      <c r="J64" s="2"/>
      <c r="K64" s="2"/>
    </row>
    <row r="65" spans="1:29" s="2" customFormat="1" ht="34.35" customHeight="1" x14ac:dyDescent="0.3">
      <c r="A65" s="28" t="s">
        <v>0</v>
      </c>
      <c r="B65" s="28" t="s">
        <v>1</v>
      </c>
      <c r="C65" s="28" t="s">
        <v>2</v>
      </c>
      <c r="D65" s="28" t="s">
        <v>3</v>
      </c>
      <c r="E65" s="28" t="s">
        <v>4</v>
      </c>
      <c r="F65" s="28" t="s">
        <v>51</v>
      </c>
      <c r="G65" s="28" t="s">
        <v>52</v>
      </c>
      <c r="H65" s="28" t="s">
        <v>5</v>
      </c>
      <c r="I65" s="28" t="s">
        <v>53</v>
      </c>
      <c r="J65" s="28" t="s">
        <v>27</v>
      </c>
      <c r="K65" s="28" t="s">
        <v>6</v>
      </c>
    </row>
    <row r="66" spans="1:29" x14ac:dyDescent="0.3">
      <c r="A66" s="43" t="s">
        <v>172</v>
      </c>
      <c r="B66" s="44">
        <v>46017</v>
      </c>
      <c r="C66" s="45">
        <v>1</v>
      </c>
      <c r="D66" s="45">
        <v>0</v>
      </c>
      <c r="E66" s="43" t="s">
        <v>173</v>
      </c>
      <c r="F66" s="43" t="s">
        <v>174</v>
      </c>
      <c r="G66" s="43" t="s">
        <v>55</v>
      </c>
      <c r="H66" s="43" t="s">
        <v>33</v>
      </c>
      <c r="I66" s="43" t="s">
        <v>20</v>
      </c>
      <c r="J66" s="43" t="s">
        <v>175</v>
      </c>
      <c r="K66" s="43" t="s">
        <v>176</v>
      </c>
    </row>
    <row r="67" spans="1:29" hidden="1" x14ac:dyDescent="0.3">
      <c r="A67" s="7"/>
      <c r="B67" s="8"/>
      <c r="C67" s="9"/>
      <c r="D67" s="9"/>
      <c r="E67" s="7"/>
      <c r="F67" s="15"/>
      <c r="G67" s="7"/>
      <c r="H67" s="7"/>
      <c r="I67" s="7"/>
      <c r="J67" s="7"/>
      <c r="K67" s="7"/>
    </row>
    <row r="68" spans="1:29" hidden="1" x14ac:dyDescent="0.3">
      <c r="A68" s="7"/>
      <c r="B68" s="8"/>
      <c r="C68" s="9"/>
      <c r="D68" s="9"/>
      <c r="E68" s="7"/>
      <c r="F68" s="15"/>
      <c r="G68" s="7"/>
      <c r="H68" s="7"/>
      <c r="I68" s="7"/>
      <c r="J68" s="7"/>
      <c r="K68" s="7"/>
    </row>
    <row r="69" spans="1:29" hidden="1" x14ac:dyDescent="0.3">
      <c r="A69" s="7"/>
      <c r="B69" s="8"/>
      <c r="C69" s="9"/>
      <c r="D69" s="9"/>
      <c r="E69" s="7"/>
      <c r="F69" s="15"/>
      <c r="G69" s="7"/>
      <c r="H69" s="7"/>
      <c r="I69" s="7"/>
      <c r="J69" s="7"/>
      <c r="K69" s="7"/>
    </row>
    <row r="70" spans="1:29" hidden="1" x14ac:dyDescent="0.3">
      <c r="A70" s="7"/>
      <c r="B70" s="8"/>
      <c r="C70" s="9"/>
      <c r="D70" s="9"/>
      <c r="E70" s="7"/>
      <c r="F70" s="7"/>
      <c r="G70" s="7"/>
      <c r="H70" s="7"/>
      <c r="I70" s="7"/>
      <c r="J70" s="7"/>
      <c r="K70" s="7"/>
    </row>
    <row r="71" spans="1:29" hidden="1" x14ac:dyDescent="0.3">
      <c r="A71" s="7"/>
      <c r="B71" s="8"/>
      <c r="C71" s="9"/>
      <c r="D71" s="9"/>
      <c r="E71" s="7"/>
      <c r="F71" s="7"/>
      <c r="G71" s="7"/>
      <c r="H71" s="7"/>
      <c r="I71" s="7"/>
      <c r="J71" s="7"/>
      <c r="K71" s="7"/>
    </row>
    <row r="72" spans="1:29" s="2" customFormat="1" ht="15" thickBot="1" x14ac:dyDescent="0.35">
      <c r="E72" s="3"/>
      <c r="F72" s="3"/>
      <c r="G72" s="5"/>
      <c r="H72" s="18"/>
      <c r="J72" s="3"/>
      <c r="K72" s="3"/>
      <c r="L72" s="4"/>
      <c r="M72" s="4"/>
      <c r="N72" s="4"/>
      <c r="O72" s="4"/>
      <c r="P72" s="4"/>
      <c r="Q72" s="4"/>
      <c r="R72" s="3"/>
      <c r="S72" s="3"/>
      <c r="T72" s="4"/>
      <c r="U72" s="4"/>
      <c r="V72" s="4"/>
      <c r="W72" s="4"/>
      <c r="X72" s="4"/>
      <c r="Y72" s="4"/>
      <c r="Z72" s="4"/>
      <c r="AA72" s="4"/>
      <c r="AB72" s="4"/>
      <c r="AC72" s="4"/>
    </row>
    <row r="73" spans="1:29" s="2" customFormat="1" ht="15" thickBot="1" x14ac:dyDescent="0.35">
      <c r="B73" s="38" t="s">
        <v>35</v>
      </c>
      <c r="C73" s="22">
        <f>SUM(C66:C71)-SUM(D66:D71)</f>
        <v>1</v>
      </c>
      <c r="E73" s="3"/>
      <c r="F73" s="3"/>
      <c r="G73" s="5"/>
      <c r="H73" s="18"/>
      <c r="J73" s="3"/>
      <c r="K73" s="3"/>
      <c r="L73" s="4"/>
      <c r="M73" s="4"/>
      <c r="N73" s="4"/>
      <c r="O73" s="4"/>
      <c r="P73" s="4"/>
      <c r="Q73" s="4"/>
      <c r="R73" s="3"/>
      <c r="S73" s="3"/>
      <c r="T73" s="4"/>
      <c r="U73" s="4"/>
      <c r="V73" s="4"/>
      <c r="W73" s="4"/>
      <c r="X73" s="4"/>
      <c r="Y73" s="4"/>
      <c r="Z73" s="4"/>
      <c r="AA73" s="4"/>
      <c r="AB73" s="4"/>
      <c r="AC73" s="4"/>
    </row>
  </sheetData>
  <autoFilter ref="A3:J42" xr:uid="{6E392464-0CD5-4B6C-9B5A-A4EF4B03C567}"/>
  <conditionalFormatting sqref="F1:F45 F48:F1048576">
    <cfRule type="cellIs" dxfId="209" priority="6" operator="equal">
      <formula>"Non-Billable"</formula>
    </cfRule>
    <cfRule type="cellIs" dxfId="208" priority="7" operator="equal">
      <formula>"Billable"</formula>
    </cfRule>
  </conditionalFormatting>
  <conditionalFormatting sqref="H1:H2 H4:H44 F46 H47:H49 H51:H64 H66:H1048576">
    <cfRule type="cellIs" dxfId="207" priority="10" operator="equal">
      <formula>"Not accpeting applications"</formula>
    </cfRule>
  </conditionalFormatting>
  <conditionalFormatting sqref="H1:H2 H4:H44 H47:H49 H51:H64 H66:H1048576">
    <cfRule type="cellIs" dxfId="206" priority="8" operator="equal">
      <formula>"Not Accepting Applications"</formula>
    </cfRule>
  </conditionalFormatting>
  <conditionalFormatting sqref="H4:H44">
    <cfRule type="cellIs" dxfId="205" priority="11" operator="equal">
      <formula>"Accepting Applications"</formula>
    </cfRule>
  </conditionalFormatting>
  <conditionalFormatting sqref="H43:H44 F46">
    <cfRule type="cellIs" dxfId="204" priority="12" operator="equal">
      <formula>"Not Accepting Application"</formula>
    </cfRule>
    <cfRule type="cellIs" dxfId="203" priority="13" operator="equal">
      <formula>"Y"</formula>
    </cfRule>
  </conditionalFormatting>
  <conditionalFormatting sqref="H51:H54">
    <cfRule type="cellIs" dxfId="202" priority="9" operator="equal">
      <formula>"Not accepting applications"</formula>
    </cfRule>
  </conditionalFormatting>
  <conditionalFormatting sqref="H56:H60">
    <cfRule type="cellIs" dxfId="201" priority="17" operator="equal">
      <formula>"Not Accepting Application"</formula>
    </cfRule>
    <cfRule type="cellIs" dxfId="200" priority="18" operator="equal">
      <formula>"Accepting Applications"</formula>
    </cfRule>
    <cfRule type="cellIs" dxfId="199" priority="19" operator="equal">
      <formula>"Y"</formula>
    </cfRule>
  </conditionalFormatting>
  <conditionalFormatting sqref="I1:I45 G45 F46:G46 I48:I1048576">
    <cfRule type="cellIs" dxfId="198" priority="4" operator="equal">
      <formula>"Accepting Applications"</formula>
    </cfRule>
    <cfRule type="cellIs" dxfId="197" priority="5" operator="equal">
      <formula>"Not Accepting Applications"</formula>
    </cfRule>
  </conditionalFormatting>
  <conditionalFormatting sqref="I1:I45 G45:G46 I48:I1048576">
    <cfRule type="cellIs" dxfId="196" priority="3" operator="equal">
      <formula>"Pending"</formula>
    </cfRule>
  </conditionalFormatting>
  <conditionalFormatting sqref="AG66:AG74">
    <cfRule type="cellIs" dxfId="195" priority="16" operator="equal">
      <formula>"Not Accepting Applications"</formula>
    </cfRule>
  </conditionalFormatting>
  <pageMargins left="0.7" right="0.7" top="0.75" bottom="0.75" header="0.3" footer="0.3"/>
  <pageSetup orientation="landscape" horizontalDpi="4294967295" verticalDpi="4294967295"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4A0E6-DD25-4048-8337-A38FAEEA1ED0}">
  <sheetPr>
    <tabColor theme="7" tint="0.39997558519241921"/>
  </sheetPr>
  <dimension ref="B6:C184"/>
  <sheetViews>
    <sheetView topLeftCell="A119" zoomScale="107" workbookViewId="0">
      <selection activeCell="R135" sqref="R135"/>
    </sheetView>
  </sheetViews>
  <sheetFormatPr defaultRowHeight="14.4" x14ac:dyDescent="0.3"/>
  <cols>
    <col min="2" max="2" width="11.6640625" customWidth="1"/>
  </cols>
  <sheetData>
    <row r="6" spans="2:3" x14ac:dyDescent="0.3">
      <c r="B6" t="s">
        <v>36</v>
      </c>
      <c r="C6" t="s">
        <v>37</v>
      </c>
    </row>
    <row r="7" spans="2:3" hidden="1" x14ac:dyDescent="0.3">
      <c r="B7" s="23">
        <v>43901</v>
      </c>
      <c r="C7">
        <v>78</v>
      </c>
    </row>
    <row r="8" spans="2:3" hidden="1" x14ac:dyDescent="0.3">
      <c r="B8" s="23">
        <v>43902</v>
      </c>
      <c r="C8">
        <v>78</v>
      </c>
    </row>
    <row r="9" spans="2:3" hidden="1" x14ac:dyDescent="0.3">
      <c r="B9" s="23">
        <v>43903</v>
      </c>
      <c r="C9">
        <v>78</v>
      </c>
    </row>
    <row r="10" spans="2:3" hidden="1" x14ac:dyDescent="0.3">
      <c r="B10" s="24">
        <v>43904</v>
      </c>
      <c r="C10" s="25">
        <v>78</v>
      </c>
    </row>
    <row r="11" spans="2:3" hidden="1" x14ac:dyDescent="0.3">
      <c r="B11" s="24">
        <v>43905</v>
      </c>
      <c r="C11" s="25">
        <v>78</v>
      </c>
    </row>
    <row r="12" spans="2:3" hidden="1" x14ac:dyDescent="0.3">
      <c r="B12" s="23">
        <v>43906</v>
      </c>
      <c r="C12">
        <v>77</v>
      </c>
    </row>
    <row r="13" spans="2:3" hidden="1" x14ac:dyDescent="0.3">
      <c r="B13" s="23">
        <v>43907</v>
      </c>
      <c r="C13">
        <v>77</v>
      </c>
    </row>
    <row r="14" spans="2:3" hidden="1" x14ac:dyDescent="0.3">
      <c r="B14" s="23">
        <v>43908</v>
      </c>
      <c r="C14">
        <v>66</v>
      </c>
    </row>
    <row r="15" spans="2:3" hidden="1" x14ac:dyDescent="0.3">
      <c r="B15" s="23">
        <v>43909</v>
      </c>
      <c r="C15">
        <v>64</v>
      </c>
    </row>
    <row r="16" spans="2:3" hidden="1" x14ac:dyDescent="0.3">
      <c r="B16" s="23">
        <v>43914</v>
      </c>
      <c r="C16">
        <v>50</v>
      </c>
    </row>
    <row r="17" spans="2:3" hidden="1" x14ac:dyDescent="0.3">
      <c r="B17" t="s">
        <v>38</v>
      </c>
      <c r="C17">
        <v>49</v>
      </c>
    </row>
    <row r="18" spans="2:3" hidden="1" x14ac:dyDescent="0.3">
      <c r="B18" s="23">
        <v>43921</v>
      </c>
      <c r="C18">
        <v>50</v>
      </c>
    </row>
    <row r="19" spans="2:3" hidden="1" x14ac:dyDescent="0.3">
      <c r="B19" s="23">
        <v>43923</v>
      </c>
      <c r="C19">
        <v>53</v>
      </c>
    </row>
    <row r="20" spans="2:3" hidden="1" x14ac:dyDescent="0.3">
      <c r="B20" s="23">
        <v>43928</v>
      </c>
      <c r="C20">
        <v>50</v>
      </c>
    </row>
    <row r="21" spans="2:3" hidden="1" x14ac:dyDescent="0.3">
      <c r="B21" s="23">
        <v>43930</v>
      </c>
      <c r="C21">
        <v>49</v>
      </c>
    </row>
    <row r="22" spans="2:3" hidden="1" x14ac:dyDescent="0.3">
      <c r="B22" s="23">
        <v>43935</v>
      </c>
      <c r="C22">
        <v>48</v>
      </c>
    </row>
    <row r="23" spans="2:3" hidden="1" x14ac:dyDescent="0.3">
      <c r="B23" s="23">
        <v>43937</v>
      </c>
      <c r="C23">
        <v>48</v>
      </c>
    </row>
    <row r="24" spans="2:3" hidden="1" x14ac:dyDescent="0.3">
      <c r="B24" s="23">
        <v>43941</v>
      </c>
      <c r="C24">
        <v>44</v>
      </c>
    </row>
    <row r="25" spans="2:3" hidden="1" x14ac:dyDescent="0.3">
      <c r="B25" s="23">
        <v>43942</v>
      </c>
      <c r="C25">
        <v>39</v>
      </c>
    </row>
    <row r="26" spans="2:3" hidden="1" x14ac:dyDescent="0.3">
      <c r="B26" s="23">
        <v>43944</v>
      </c>
      <c r="C26">
        <v>40</v>
      </c>
    </row>
    <row r="27" spans="2:3" hidden="1" x14ac:dyDescent="0.3">
      <c r="B27" s="23">
        <v>43945</v>
      </c>
      <c r="C27">
        <v>38</v>
      </c>
    </row>
    <row r="28" spans="2:3" hidden="1" x14ac:dyDescent="0.3">
      <c r="B28" s="23">
        <v>43947</v>
      </c>
      <c r="C28">
        <v>33</v>
      </c>
    </row>
    <row r="29" spans="2:3" hidden="1" x14ac:dyDescent="0.3">
      <c r="B29" s="23">
        <v>43949</v>
      </c>
      <c r="C29">
        <v>26</v>
      </c>
    </row>
    <row r="30" spans="2:3" hidden="1" x14ac:dyDescent="0.3">
      <c r="B30" s="23">
        <v>43951</v>
      </c>
      <c r="C30">
        <v>24</v>
      </c>
    </row>
    <row r="31" spans="2:3" hidden="1" x14ac:dyDescent="0.3">
      <c r="B31" s="23">
        <v>43952</v>
      </c>
      <c r="C31">
        <v>23</v>
      </c>
    </row>
    <row r="32" spans="2:3" hidden="1" x14ac:dyDescent="0.3">
      <c r="B32" s="23">
        <v>43954</v>
      </c>
      <c r="C32">
        <v>20</v>
      </c>
    </row>
    <row r="33" spans="2:3" hidden="1" x14ac:dyDescent="0.3">
      <c r="B33" s="23">
        <v>43956</v>
      </c>
      <c r="C33">
        <v>37</v>
      </c>
    </row>
    <row r="34" spans="2:3" hidden="1" x14ac:dyDescent="0.3">
      <c r="B34" s="23">
        <v>43958</v>
      </c>
      <c r="C34">
        <v>39</v>
      </c>
    </row>
    <row r="35" spans="2:3" hidden="1" x14ac:dyDescent="0.3">
      <c r="B35" s="23">
        <v>43959</v>
      </c>
      <c r="C35">
        <v>37</v>
      </c>
    </row>
    <row r="36" spans="2:3" hidden="1" x14ac:dyDescent="0.3">
      <c r="B36" s="23">
        <v>43961</v>
      </c>
      <c r="C36">
        <v>36</v>
      </c>
    </row>
    <row r="37" spans="2:3" hidden="1" x14ac:dyDescent="0.3">
      <c r="B37" s="23">
        <v>43965</v>
      </c>
      <c r="C37">
        <v>39</v>
      </c>
    </row>
    <row r="38" spans="2:3" hidden="1" x14ac:dyDescent="0.3">
      <c r="B38" s="23">
        <v>43966</v>
      </c>
      <c r="C38">
        <v>38</v>
      </c>
    </row>
    <row r="39" spans="2:3" hidden="1" x14ac:dyDescent="0.3">
      <c r="B39" s="23">
        <v>43968</v>
      </c>
      <c r="C39">
        <v>38</v>
      </c>
    </row>
    <row r="40" spans="2:3" hidden="1" x14ac:dyDescent="0.3">
      <c r="B40" s="23">
        <v>43972</v>
      </c>
      <c r="C40">
        <v>35</v>
      </c>
    </row>
    <row r="41" spans="2:3" hidden="1" x14ac:dyDescent="0.3">
      <c r="B41" s="23">
        <v>43973</v>
      </c>
      <c r="C41">
        <v>35</v>
      </c>
    </row>
    <row r="42" spans="2:3" hidden="1" x14ac:dyDescent="0.3">
      <c r="B42" s="23">
        <v>43976</v>
      </c>
      <c r="C42">
        <v>35</v>
      </c>
    </row>
    <row r="43" spans="2:3" hidden="1" x14ac:dyDescent="0.3">
      <c r="B43" s="23">
        <v>43979</v>
      </c>
      <c r="C43">
        <v>34</v>
      </c>
    </row>
    <row r="44" spans="2:3" hidden="1" x14ac:dyDescent="0.3">
      <c r="B44" s="23">
        <v>43980</v>
      </c>
      <c r="C44">
        <v>31</v>
      </c>
    </row>
    <row r="45" spans="2:3" hidden="1" x14ac:dyDescent="0.3">
      <c r="B45" s="23">
        <v>43982</v>
      </c>
      <c r="C45">
        <v>31</v>
      </c>
    </row>
    <row r="46" spans="2:3" hidden="1" x14ac:dyDescent="0.3">
      <c r="B46" s="23">
        <v>43986</v>
      </c>
      <c r="C46">
        <v>27</v>
      </c>
    </row>
    <row r="47" spans="2:3" hidden="1" x14ac:dyDescent="0.3">
      <c r="B47" s="23">
        <v>43987</v>
      </c>
      <c r="C47">
        <v>27</v>
      </c>
    </row>
    <row r="48" spans="2:3" hidden="1" x14ac:dyDescent="0.3">
      <c r="B48" s="23">
        <v>43989</v>
      </c>
      <c r="C48">
        <v>24</v>
      </c>
    </row>
    <row r="49" spans="2:3" hidden="1" x14ac:dyDescent="0.3">
      <c r="B49" s="23">
        <v>43993</v>
      </c>
      <c r="C49">
        <v>25</v>
      </c>
    </row>
    <row r="50" spans="2:3" hidden="1" x14ac:dyDescent="0.3">
      <c r="B50" s="23">
        <v>43996</v>
      </c>
      <c r="C50">
        <v>29</v>
      </c>
    </row>
    <row r="51" spans="2:3" hidden="1" x14ac:dyDescent="0.3">
      <c r="B51" s="23">
        <v>44000</v>
      </c>
      <c r="C51">
        <v>27</v>
      </c>
    </row>
    <row r="52" spans="2:3" hidden="1" x14ac:dyDescent="0.3">
      <c r="B52" s="23">
        <v>43270</v>
      </c>
      <c r="C52">
        <v>27</v>
      </c>
    </row>
    <row r="53" spans="2:3" hidden="1" x14ac:dyDescent="0.3">
      <c r="B53" s="23">
        <v>44004</v>
      </c>
      <c r="C53">
        <v>24</v>
      </c>
    </row>
    <row r="54" spans="2:3" hidden="1" x14ac:dyDescent="0.3">
      <c r="B54" s="23">
        <v>44007</v>
      </c>
      <c r="C54">
        <v>27</v>
      </c>
    </row>
    <row r="55" spans="2:3" hidden="1" x14ac:dyDescent="0.3">
      <c r="B55" s="23">
        <v>44008</v>
      </c>
      <c r="C55">
        <v>27</v>
      </c>
    </row>
    <row r="56" spans="2:3" hidden="1" x14ac:dyDescent="0.3">
      <c r="B56" s="23">
        <v>44010</v>
      </c>
      <c r="C56">
        <v>28</v>
      </c>
    </row>
    <row r="57" spans="2:3" hidden="1" x14ac:dyDescent="0.3">
      <c r="B57" s="23">
        <v>44014</v>
      </c>
      <c r="C57">
        <v>27</v>
      </c>
    </row>
    <row r="58" spans="2:3" hidden="1" x14ac:dyDescent="0.3">
      <c r="B58" s="23">
        <v>44015</v>
      </c>
      <c r="C58">
        <v>25</v>
      </c>
    </row>
    <row r="59" spans="2:3" hidden="1" x14ac:dyDescent="0.3">
      <c r="B59" s="23">
        <v>44018</v>
      </c>
      <c r="C59">
        <v>25</v>
      </c>
    </row>
    <row r="60" spans="2:3" hidden="1" x14ac:dyDescent="0.3">
      <c r="B60" s="23">
        <v>44020</v>
      </c>
      <c r="C60">
        <v>23</v>
      </c>
    </row>
    <row r="61" spans="2:3" hidden="1" x14ac:dyDescent="0.3">
      <c r="B61" s="23">
        <v>44751</v>
      </c>
      <c r="C61">
        <v>22</v>
      </c>
    </row>
    <row r="62" spans="2:3" hidden="1" x14ac:dyDescent="0.3">
      <c r="B62" s="23">
        <v>44025</v>
      </c>
      <c r="C62">
        <v>21</v>
      </c>
    </row>
    <row r="63" spans="2:3" hidden="1" x14ac:dyDescent="0.3">
      <c r="B63" s="23">
        <v>44028</v>
      </c>
      <c r="C63">
        <v>27</v>
      </c>
    </row>
    <row r="64" spans="2:3" hidden="1" x14ac:dyDescent="0.3">
      <c r="B64" s="23">
        <v>44032</v>
      </c>
      <c r="C64">
        <v>33</v>
      </c>
    </row>
    <row r="65" spans="2:3" hidden="1" x14ac:dyDescent="0.3">
      <c r="B65" s="23">
        <v>44034</v>
      </c>
      <c r="C65">
        <v>48</v>
      </c>
    </row>
    <row r="66" spans="2:3" hidden="1" x14ac:dyDescent="0.3">
      <c r="B66" s="23">
        <v>44039</v>
      </c>
      <c r="C66">
        <v>49</v>
      </c>
    </row>
    <row r="67" spans="2:3" hidden="1" x14ac:dyDescent="0.3">
      <c r="B67" s="23">
        <v>44039</v>
      </c>
      <c r="C67">
        <v>54</v>
      </c>
    </row>
    <row r="68" spans="2:3" hidden="1" x14ac:dyDescent="0.3">
      <c r="B68" s="23">
        <v>44046</v>
      </c>
      <c r="C68">
        <v>54</v>
      </c>
    </row>
    <row r="69" spans="2:3" hidden="1" x14ac:dyDescent="0.3">
      <c r="B69" s="23">
        <v>44165</v>
      </c>
      <c r="C69">
        <v>52</v>
      </c>
    </row>
    <row r="70" spans="2:3" hidden="1" x14ac:dyDescent="0.3">
      <c r="B70" s="23">
        <v>44168</v>
      </c>
      <c r="C70">
        <v>52</v>
      </c>
    </row>
    <row r="71" spans="2:3" hidden="1" x14ac:dyDescent="0.3">
      <c r="B71" s="23">
        <v>44172</v>
      </c>
      <c r="C71">
        <v>49</v>
      </c>
    </row>
    <row r="72" spans="2:3" hidden="1" x14ac:dyDescent="0.3">
      <c r="B72" s="23">
        <v>44175</v>
      </c>
      <c r="C72">
        <v>59</v>
      </c>
    </row>
    <row r="73" spans="2:3" hidden="1" x14ac:dyDescent="0.3">
      <c r="B73" s="23">
        <v>44179</v>
      </c>
      <c r="C73">
        <v>63</v>
      </c>
    </row>
    <row r="74" spans="2:3" hidden="1" x14ac:dyDescent="0.3">
      <c r="B74" s="23">
        <v>44182</v>
      </c>
      <c r="C74">
        <v>60</v>
      </c>
    </row>
    <row r="75" spans="2:3" hidden="1" x14ac:dyDescent="0.3">
      <c r="B75" s="23">
        <v>44186</v>
      </c>
      <c r="C75">
        <v>55</v>
      </c>
    </row>
    <row r="76" spans="2:3" hidden="1" x14ac:dyDescent="0.3">
      <c r="B76" s="23">
        <v>44189</v>
      </c>
      <c r="C76">
        <v>54</v>
      </c>
    </row>
    <row r="77" spans="2:3" hidden="1" x14ac:dyDescent="0.3">
      <c r="B77" s="23">
        <v>44193</v>
      </c>
      <c r="C77">
        <v>54</v>
      </c>
    </row>
    <row r="78" spans="2:3" hidden="1" x14ac:dyDescent="0.3">
      <c r="B78" s="23">
        <v>44196</v>
      </c>
      <c r="C78">
        <v>49</v>
      </c>
    </row>
    <row r="79" spans="2:3" hidden="1" x14ac:dyDescent="0.3">
      <c r="B79" s="23">
        <v>44199</v>
      </c>
      <c r="C79">
        <v>49</v>
      </c>
    </row>
    <row r="80" spans="2:3" hidden="1" x14ac:dyDescent="0.3">
      <c r="B80" s="23">
        <v>44203</v>
      </c>
      <c r="C80">
        <v>45</v>
      </c>
    </row>
    <row r="81" spans="2:3" hidden="1" x14ac:dyDescent="0.3">
      <c r="B81" s="23">
        <v>44207</v>
      </c>
      <c r="C81">
        <v>35</v>
      </c>
    </row>
    <row r="82" spans="2:3" hidden="1" x14ac:dyDescent="0.3">
      <c r="B82" s="23">
        <v>44210</v>
      </c>
      <c r="C82">
        <v>38</v>
      </c>
    </row>
    <row r="83" spans="2:3" hidden="1" x14ac:dyDescent="0.3">
      <c r="B83" s="23">
        <v>44213</v>
      </c>
      <c r="C83">
        <v>39</v>
      </c>
    </row>
    <row r="84" spans="2:3" hidden="1" x14ac:dyDescent="0.3">
      <c r="B84" s="23">
        <v>44217</v>
      </c>
      <c r="C84">
        <v>54</v>
      </c>
    </row>
    <row r="85" spans="2:3" hidden="1" x14ac:dyDescent="0.3">
      <c r="B85" s="23">
        <v>44221</v>
      </c>
      <c r="C85">
        <v>53</v>
      </c>
    </row>
    <row r="86" spans="2:3" hidden="1" x14ac:dyDescent="0.3">
      <c r="B86" s="23">
        <v>44223</v>
      </c>
      <c r="C86">
        <v>60</v>
      </c>
    </row>
    <row r="87" spans="2:3" hidden="1" x14ac:dyDescent="0.3">
      <c r="B87" s="23">
        <v>44228</v>
      </c>
      <c r="C87">
        <v>59</v>
      </c>
    </row>
    <row r="88" spans="2:3" hidden="1" x14ac:dyDescent="0.3">
      <c r="B88" s="23">
        <v>44231</v>
      </c>
      <c r="C88">
        <v>71</v>
      </c>
    </row>
    <row r="89" spans="2:3" hidden="1" x14ac:dyDescent="0.3">
      <c r="B89" s="23">
        <v>44235</v>
      </c>
      <c r="C89">
        <v>69</v>
      </c>
    </row>
    <row r="90" spans="2:3" hidden="1" x14ac:dyDescent="0.3">
      <c r="B90" s="23">
        <v>44238</v>
      </c>
      <c r="C90">
        <v>65</v>
      </c>
    </row>
    <row r="91" spans="2:3" hidden="1" x14ac:dyDescent="0.3">
      <c r="B91" s="23">
        <v>44241</v>
      </c>
      <c r="C91">
        <v>60</v>
      </c>
    </row>
    <row r="92" spans="2:3" hidden="1" x14ac:dyDescent="0.3">
      <c r="B92" s="23">
        <v>44245</v>
      </c>
      <c r="C92">
        <v>58</v>
      </c>
    </row>
    <row r="93" spans="2:3" hidden="1" x14ac:dyDescent="0.3">
      <c r="B93" s="23">
        <v>44248</v>
      </c>
      <c r="C93">
        <v>55</v>
      </c>
    </row>
    <row r="94" spans="2:3" hidden="1" x14ac:dyDescent="0.3">
      <c r="B94" s="23">
        <v>44252</v>
      </c>
      <c r="C94">
        <v>58</v>
      </c>
    </row>
    <row r="95" spans="2:3" x14ac:dyDescent="0.3">
      <c r="B95" s="23">
        <v>45964</v>
      </c>
      <c r="C95">
        <v>42</v>
      </c>
    </row>
    <row r="96" spans="2:3" x14ac:dyDescent="0.3">
      <c r="B96" s="23">
        <v>45967</v>
      </c>
      <c r="C96">
        <v>42</v>
      </c>
    </row>
    <row r="97" spans="2:3" x14ac:dyDescent="0.3">
      <c r="B97" s="23">
        <v>45971</v>
      </c>
      <c r="C97">
        <v>42</v>
      </c>
    </row>
    <row r="98" spans="2:3" x14ac:dyDescent="0.3">
      <c r="B98" s="23">
        <v>45974</v>
      </c>
      <c r="C98">
        <v>51</v>
      </c>
    </row>
    <row r="99" spans="2:3" x14ac:dyDescent="0.3">
      <c r="B99" s="23">
        <v>45978</v>
      </c>
      <c r="C99">
        <v>50</v>
      </c>
    </row>
    <row r="100" spans="2:3" x14ac:dyDescent="0.3">
      <c r="B100" s="23">
        <v>45981</v>
      </c>
      <c r="C100">
        <v>57</v>
      </c>
    </row>
    <row r="101" spans="2:3" x14ac:dyDescent="0.3">
      <c r="B101" s="23">
        <v>45985</v>
      </c>
      <c r="C101">
        <v>62</v>
      </c>
    </row>
    <row r="102" spans="2:3" x14ac:dyDescent="0.3">
      <c r="B102" s="23">
        <v>45992</v>
      </c>
      <c r="C102">
        <v>51</v>
      </c>
    </row>
    <row r="103" spans="2:3" x14ac:dyDescent="0.3">
      <c r="B103" s="23">
        <v>45995</v>
      </c>
      <c r="C103">
        <v>53</v>
      </c>
    </row>
    <row r="104" spans="2:3" x14ac:dyDescent="0.3">
      <c r="B104" s="23">
        <v>45999</v>
      </c>
      <c r="C104">
        <v>57</v>
      </c>
    </row>
    <row r="105" spans="2:3" x14ac:dyDescent="0.3">
      <c r="B105" s="23">
        <v>46002</v>
      </c>
      <c r="C105">
        <v>52</v>
      </c>
    </row>
    <row r="106" spans="2:3" x14ac:dyDescent="0.3">
      <c r="B106" s="23">
        <v>46006</v>
      </c>
      <c r="C106">
        <v>49</v>
      </c>
    </row>
    <row r="107" spans="2:3" x14ac:dyDescent="0.3">
      <c r="B107" s="54">
        <v>46009</v>
      </c>
      <c r="C107">
        <v>68</v>
      </c>
    </row>
    <row r="108" spans="2:3" x14ac:dyDescent="0.3">
      <c r="B108" s="23">
        <v>46013</v>
      </c>
      <c r="C108">
        <v>65</v>
      </c>
    </row>
    <row r="109" spans="2:3" x14ac:dyDescent="0.3">
      <c r="B109" s="23">
        <v>46020</v>
      </c>
      <c r="C109">
        <v>68</v>
      </c>
    </row>
    <row r="110" spans="2:3" x14ac:dyDescent="0.3">
      <c r="B110" s="23" t="s">
        <v>177</v>
      </c>
      <c r="C110">
        <v>62</v>
      </c>
    </row>
    <row r="111" spans="2:3" x14ac:dyDescent="0.3">
      <c r="B111" s="23">
        <v>46030</v>
      </c>
      <c r="C111">
        <v>60</v>
      </c>
    </row>
    <row r="112" spans="2:3" x14ac:dyDescent="0.3">
      <c r="B112" s="23">
        <v>46034</v>
      </c>
      <c r="C112">
        <v>57</v>
      </c>
    </row>
    <row r="113" spans="2:3" x14ac:dyDescent="0.3">
      <c r="B113" s="23">
        <v>46037</v>
      </c>
      <c r="C113">
        <v>56</v>
      </c>
    </row>
    <row r="114" spans="2:3" x14ac:dyDescent="0.3">
      <c r="B114" s="23">
        <v>46041</v>
      </c>
      <c r="C114">
        <v>62</v>
      </c>
    </row>
    <row r="115" spans="2:3" x14ac:dyDescent="0.3">
      <c r="B115" s="23">
        <v>46044</v>
      </c>
      <c r="C115">
        <v>55</v>
      </c>
    </row>
    <row r="116" spans="2:3" x14ac:dyDescent="0.3">
      <c r="B116" s="23">
        <v>46048</v>
      </c>
      <c r="C116">
        <v>46</v>
      </c>
    </row>
    <row r="117" spans="2:3" x14ac:dyDescent="0.3">
      <c r="B117" s="23">
        <v>46051</v>
      </c>
      <c r="C117">
        <v>80</v>
      </c>
    </row>
    <row r="118" spans="2:3" x14ac:dyDescent="0.3">
      <c r="B118" s="23">
        <v>46055</v>
      </c>
      <c r="C118">
        <v>80</v>
      </c>
    </row>
    <row r="119" spans="2:3" x14ac:dyDescent="0.3">
      <c r="B119" s="23">
        <v>46058</v>
      </c>
      <c r="C119">
        <v>73</v>
      </c>
    </row>
    <row r="120" spans="2:3" x14ac:dyDescent="0.3">
      <c r="B120" s="23">
        <v>46062</v>
      </c>
      <c r="C120">
        <v>70</v>
      </c>
    </row>
    <row r="121" spans="2:3" x14ac:dyDescent="0.3">
      <c r="B121" s="23">
        <v>46065</v>
      </c>
      <c r="C121">
        <v>75</v>
      </c>
    </row>
    <row r="122" spans="2:3" x14ac:dyDescent="0.3">
      <c r="B122" s="23">
        <v>46069</v>
      </c>
      <c r="C122">
        <v>74</v>
      </c>
    </row>
    <row r="123" spans="2:3" x14ac:dyDescent="0.3">
      <c r="B123" s="23">
        <v>46072</v>
      </c>
      <c r="C123">
        <v>65</v>
      </c>
    </row>
    <row r="124" spans="2:3" x14ac:dyDescent="0.3">
      <c r="B124" s="23">
        <v>46076</v>
      </c>
      <c r="C124">
        <v>62</v>
      </c>
    </row>
    <row r="125" spans="2:3" x14ac:dyDescent="0.3">
      <c r="B125" s="23">
        <v>46079</v>
      </c>
      <c r="C125">
        <v>60</v>
      </c>
    </row>
    <row r="126" spans="2:3" x14ac:dyDescent="0.3">
      <c r="B126" s="23">
        <v>46083</v>
      </c>
      <c r="C126">
        <v>63</v>
      </c>
    </row>
    <row r="127" spans="2:3" x14ac:dyDescent="0.3">
      <c r="B127" s="23">
        <v>46086</v>
      </c>
      <c r="C127">
        <v>60</v>
      </c>
    </row>
    <row r="128" spans="2:3" x14ac:dyDescent="0.3">
      <c r="B128" s="23">
        <v>46090</v>
      </c>
      <c r="C128">
        <v>61</v>
      </c>
    </row>
    <row r="129" spans="2:3" x14ac:dyDescent="0.3">
      <c r="B129" s="23">
        <v>46093</v>
      </c>
      <c r="C129">
        <v>61</v>
      </c>
    </row>
    <row r="130" spans="2:3" x14ac:dyDescent="0.3">
      <c r="B130" s="23">
        <v>46097</v>
      </c>
      <c r="C130">
        <v>56</v>
      </c>
    </row>
    <row r="131" spans="2:3" x14ac:dyDescent="0.3">
      <c r="B131" s="23">
        <v>46100</v>
      </c>
      <c r="C131">
        <v>55</v>
      </c>
    </row>
    <row r="132" spans="2:3" x14ac:dyDescent="0.3">
      <c r="B132" s="23">
        <v>46104</v>
      </c>
      <c r="C132">
        <v>57</v>
      </c>
    </row>
    <row r="133" spans="2:3" x14ac:dyDescent="0.3">
      <c r="B133" s="23"/>
    </row>
    <row r="134" spans="2:3" x14ac:dyDescent="0.3">
      <c r="B134" s="23"/>
    </row>
    <row r="135" spans="2:3" x14ac:dyDescent="0.3">
      <c r="B135" s="23"/>
    </row>
    <row r="136" spans="2:3" x14ac:dyDescent="0.3">
      <c r="B136" s="23"/>
    </row>
    <row r="137" spans="2:3" x14ac:dyDescent="0.3">
      <c r="B137" s="23"/>
    </row>
    <row r="138" spans="2:3" x14ac:dyDescent="0.3">
      <c r="B138" s="23"/>
    </row>
    <row r="139" spans="2:3" x14ac:dyDescent="0.3">
      <c r="B139" s="23"/>
    </row>
    <row r="140" spans="2:3" x14ac:dyDescent="0.3">
      <c r="B140" s="23"/>
    </row>
    <row r="141" spans="2:3" x14ac:dyDescent="0.3">
      <c r="B141" s="23"/>
    </row>
    <row r="142" spans="2:3" x14ac:dyDescent="0.3">
      <c r="B142" s="23"/>
    </row>
    <row r="143" spans="2:3" x14ac:dyDescent="0.3">
      <c r="B143" s="23"/>
    </row>
    <row r="144" spans="2:3" x14ac:dyDescent="0.3">
      <c r="B144" s="23"/>
    </row>
    <row r="145" spans="2:2" x14ac:dyDescent="0.3">
      <c r="B145" s="23"/>
    </row>
    <row r="146" spans="2:2" x14ac:dyDescent="0.3">
      <c r="B146" s="23"/>
    </row>
    <row r="147" spans="2:2" x14ac:dyDescent="0.3">
      <c r="B147" s="23"/>
    </row>
    <row r="148" spans="2:2" x14ac:dyDescent="0.3">
      <c r="B148" s="23"/>
    </row>
    <row r="149" spans="2:2" x14ac:dyDescent="0.3">
      <c r="B149" s="23"/>
    </row>
    <row r="150" spans="2:2" x14ac:dyDescent="0.3">
      <c r="B150" s="23"/>
    </row>
    <row r="151" spans="2:2" x14ac:dyDescent="0.3">
      <c r="B151" s="23"/>
    </row>
    <row r="152" spans="2:2" x14ac:dyDescent="0.3">
      <c r="B152" s="23"/>
    </row>
    <row r="153" spans="2:2" x14ac:dyDescent="0.3">
      <c r="B153" s="23"/>
    </row>
    <row r="154" spans="2:2" x14ac:dyDescent="0.3">
      <c r="B154" s="23"/>
    </row>
    <row r="155" spans="2:2" x14ac:dyDescent="0.3">
      <c r="B155" s="23"/>
    </row>
    <row r="156" spans="2:2" x14ac:dyDescent="0.3">
      <c r="B156" s="23"/>
    </row>
    <row r="157" spans="2:2" x14ac:dyDescent="0.3">
      <c r="B157" s="23"/>
    </row>
    <row r="158" spans="2:2" x14ac:dyDescent="0.3">
      <c r="B158" s="23"/>
    </row>
    <row r="159" spans="2:2" x14ac:dyDescent="0.3">
      <c r="B159" s="23"/>
    </row>
    <row r="160" spans="2:2" x14ac:dyDescent="0.3">
      <c r="B160" s="23"/>
    </row>
    <row r="161" spans="2:2" x14ac:dyDescent="0.3">
      <c r="B161" s="23"/>
    </row>
    <row r="162" spans="2:2" x14ac:dyDescent="0.3">
      <c r="B162" s="23"/>
    </row>
    <row r="163" spans="2:2" x14ac:dyDescent="0.3">
      <c r="B163" s="23"/>
    </row>
    <row r="164" spans="2:2" x14ac:dyDescent="0.3">
      <c r="B164" s="23"/>
    </row>
    <row r="165" spans="2:2" x14ac:dyDescent="0.3">
      <c r="B165" s="23"/>
    </row>
    <row r="166" spans="2:2" x14ac:dyDescent="0.3">
      <c r="B166" s="23"/>
    </row>
    <row r="167" spans="2:2" x14ac:dyDescent="0.3">
      <c r="B167" s="23"/>
    </row>
    <row r="168" spans="2:2" x14ac:dyDescent="0.3">
      <c r="B168" s="23"/>
    </row>
    <row r="169" spans="2:2" x14ac:dyDescent="0.3">
      <c r="B169" s="23"/>
    </row>
    <row r="170" spans="2:2" x14ac:dyDescent="0.3">
      <c r="B170" s="23"/>
    </row>
    <row r="171" spans="2:2" x14ac:dyDescent="0.3">
      <c r="B171" s="23"/>
    </row>
    <row r="172" spans="2:2" x14ac:dyDescent="0.3">
      <c r="B172" s="23"/>
    </row>
    <row r="173" spans="2:2" x14ac:dyDescent="0.3">
      <c r="B173" s="23"/>
    </row>
    <row r="174" spans="2:2" x14ac:dyDescent="0.3">
      <c r="B174" s="23"/>
    </row>
    <row r="175" spans="2:2" x14ac:dyDescent="0.3">
      <c r="B175" s="23"/>
    </row>
    <row r="176" spans="2:2" x14ac:dyDescent="0.3">
      <c r="B176" s="23"/>
    </row>
    <row r="177" spans="2:2" x14ac:dyDescent="0.3">
      <c r="B177" s="23"/>
    </row>
    <row r="178" spans="2:2" x14ac:dyDescent="0.3">
      <c r="B178" s="23"/>
    </row>
    <row r="179" spans="2:2" x14ac:dyDescent="0.3">
      <c r="B179" s="23"/>
    </row>
    <row r="180" spans="2:2" x14ac:dyDescent="0.3">
      <c r="B180" s="23"/>
    </row>
    <row r="181" spans="2:2" x14ac:dyDescent="0.3">
      <c r="B181" s="23"/>
    </row>
    <row r="182" spans="2:2" x14ac:dyDescent="0.3">
      <c r="B182" s="23"/>
    </row>
    <row r="183" spans="2:2" x14ac:dyDescent="0.3">
      <c r="B183" s="23"/>
    </row>
    <row r="184" spans="2:2" x14ac:dyDescent="0.3">
      <c r="B184" s="23"/>
    </row>
  </sheetData>
  <pageMargins left="0.7" right="0.7" top="0.75" bottom="0.75" header="0.3" footer="0.3"/>
  <pageSetup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23</vt:i4>
      </vt:variant>
    </vt:vector>
  </HeadingPairs>
  <TitlesOfParts>
    <vt:vector size="47" baseType="lpstr">
      <vt:lpstr>Open 3.23.2026 </vt:lpstr>
      <vt:lpstr>Open 3.19.2026</vt:lpstr>
      <vt:lpstr>Open 3.16.2026</vt:lpstr>
      <vt:lpstr>Open 3.12.2026 </vt:lpstr>
      <vt:lpstr>Open 3.09.2026</vt:lpstr>
      <vt:lpstr>Open 3.05.2026</vt:lpstr>
      <vt:lpstr>Open 3.02.2026</vt:lpstr>
      <vt:lpstr>Open 2.26.2026</vt:lpstr>
      <vt:lpstr>Open 2.23.2026</vt:lpstr>
      <vt:lpstr>Open 2.19.2026</vt:lpstr>
      <vt:lpstr>Open 2.16.2026 </vt:lpstr>
      <vt:lpstr>Open 2.12.2026 </vt:lpstr>
      <vt:lpstr>Open 2.09.2026</vt:lpstr>
      <vt:lpstr>Open 2.05.2026 </vt:lpstr>
      <vt:lpstr>Open 2.02.2026</vt:lpstr>
      <vt:lpstr>Open 1.29.2026</vt:lpstr>
      <vt:lpstr>Open 1.26.2026</vt:lpstr>
      <vt:lpstr>Open 1.22.2026</vt:lpstr>
      <vt:lpstr>Open 1.19.2026</vt:lpstr>
      <vt:lpstr>Open 1.15.2026</vt:lpstr>
      <vt:lpstr>Open 1.12.2026</vt:lpstr>
      <vt:lpstr>Open 1.08.2026</vt:lpstr>
      <vt:lpstr>Open 1.05.2026</vt:lpstr>
      <vt:lpstr>Trending</vt:lpstr>
      <vt:lpstr>'Open 1.05.2026'!Print_Area</vt:lpstr>
      <vt:lpstr>'Open 1.08.2026'!Print_Area</vt:lpstr>
      <vt:lpstr>'Open 1.12.2026'!Print_Area</vt:lpstr>
      <vt:lpstr>'Open 1.15.2026'!Print_Area</vt:lpstr>
      <vt:lpstr>'Open 1.19.2026'!Print_Area</vt:lpstr>
      <vt:lpstr>'Open 1.22.2026'!Print_Area</vt:lpstr>
      <vt:lpstr>'Open 1.26.2026'!Print_Area</vt:lpstr>
      <vt:lpstr>'Open 1.29.2026'!Print_Area</vt:lpstr>
      <vt:lpstr>'Open 2.02.2026'!Print_Area</vt:lpstr>
      <vt:lpstr>'Open 2.05.2026 '!Print_Area</vt:lpstr>
      <vt:lpstr>'Open 2.09.2026'!Print_Area</vt:lpstr>
      <vt:lpstr>'Open 2.12.2026 '!Print_Area</vt:lpstr>
      <vt:lpstr>'Open 2.16.2026 '!Print_Area</vt:lpstr>
      <vt:lpstr>'Open 2.19.2026'!Print_Area</vt:lpstr>
      <vt:lpstr>'Open 2.23.2026'!Print_Area</vt:lpstr>
      <vt:lpstr>'Open 2.26.2026'!Print_Area</vt:lpstr>
      <vt:lpstr>'Open 3.02.2026'!Print_Area</vt:lpstr>
      <vt:lpstr>'Open 3.05.2026'!Print_Area</vt:lpstr>
      <vt:lpstr>'Open 3.09.2026'!Print_Area</vt:lpstr>
      <vt:lpstr>'Open 3.12.2026 '!Print_Area</vt:lpstr>
      <vt:lpstr>'Open 3.16.2026'!Print_Area</vt:lpstr>
      <vt:lpstr>'Open 3.19.2026'!Print_Area</vt:lpstr>
      <vt:lpstr>'Open 3.23.2026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Gretchen Olsen-Jacobsen</dc:creator>
  <cp:lastModifiedBy>Tara Rogers</cp:lastModifiedBy>
  <dcterms:created xsi:type="dcterms:W3CDTF">2024-09-06T19:33:07Z</dcterms:created>
  <dcterms:modified xsi:type="dcterms:W3CDTF">2026-03-24T23:49:46Z</dcterms:modified>
</cp:coreProperties>
</file>