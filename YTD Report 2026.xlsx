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pivotTables/pivotTable6.xml" ContentType="application/vnd.openxmlformats-officedocument.spreadsheetml.pivotTable+xml"/>
  <Override PartName="/xl/tables/table6.xml" ContentType="application/vnd.openxmlformats-officedocument.spreadsheetml.table+xml"/>
  <Override PartName="/xl/pivotTables/pivotTable7.xml" ContentType="application/vnd.openxmlformats-officedocument.spreadsheetml.pivotTable+xml"/>
  <Override PartName="/xl/tables/table7.xml" ContentType="application/vnd.openxmlformats-officedocument.spreadsheetml.table+xml"/>
  <Override PartName="/xl/pivotTables/pivotTable8.xml" ContentType="application/vnd.openxmlformats-officedocument.spreadsheetml.pivotTable+xml"/>
  <Override PartName="/xl/tables/table8.xml" ContentType="application/vnd.openxmlformats-officedocument.spreadsheetml.table+xml"/>
  <Override PartName="/xl/pivotTables/pivotTable9.xml" ContentType="application/vnd.openxmlformats-officedocument.spreadsheetml.pivotTable+xml"/>
  <Override PartName="/xl/tables/table9.xml" ContentType="application/vnd.openxmlformats-officedocument.spreadsheetml.table+xml"/>
  <Override PartName="/xl/pivotTables/pivotTable10.xml" ContentType="application/vnd.openxmlformats-officedocument.spreadsheetml.pivotTable+xml"/>
  <Override PartName="/xl/tables/table10.xml" ContentType="application/vnd.openxmlformats-officedocument.spreadsheetml.table+xml"/>
  <Override PartName="/xl/pivotTables/pivotTable11.xml" ContentType="application/vnd.openxmlformats-officedocument.spreadsheetml.pivotTable+xml"/>
  <Override PartName="/xl/tables/table11.xml" ContentType="application/vnd.openxmlformats-officedocument.spreadsheetml.table+xml"/>
  <Override PartName="/xl/pivotTables/pivotTable12.xml" ContentType="application/vnd.openxmlformats-officedocument.spreadsheetml.pivot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a.rogers\Downloads\"/>
    </mc:Choice>
  </mc:AlternateContent>
  <xr:revisionPtr revIDLastSave="0" documentId="8_{54623655-5CF5-4F61-BA96-266BC637CC88}" xr6:coauthVersionLast="47" xr6:coauthVersionMax="47" xr10:uidLastSave="{00000000-0000-0000-0000-000000000000}"/>
  <bookViews>
    <workbookView xWindow="83610" yWindow="8085" windowWidth="17220" windowHeight="8955" xr2:uid="{A8AEF5F9-9566-4924-9661-7D39E6ADFEC1}"/>
  </bookViews>
  <sheets>
    <sheet name="Recruiting Dash 03.20.2026" sheetId="12" r:id="rId1"/>
    <sheet name="Recruiting Dash 03.13.2026" sheetId="11" r:id="rId2"/>
    <sheet name="Recruiting Dash 03.06.2026" sheetId="10" r:id="rId3"/>
    <sheet name="Recruiting Dash 02.27.2026" sheetId="9" r:id="rId4"/>
    <sheet name="Recruiting Dash 02.20.2026" sheetId="8" r:id="rId5"/>
    <sheet name="Recruiting Dash 02.13.2026" sheetId="7" r:id="rId6"/>
    <sheet name="Recruiting Dash 02.06.2026" sheetId="6" r:id="rId7"/>
    <sheet name="Recruiting Dash 01.30.2026" sheetId="5" r:id="rId8"/>
    <sheet name="Recruiting Dash 01.23.2026" sheetId="4" r:id="rId9"/>
    <sheet name="Recruiting Dash 01.16.2026" sheetId="3" r:id="rId10"/>
    <sheet name="Recruiting Dash 01.09.2026" sheetId="2" r:id="rId11"/>
    <sheet name="Recruiting Dash 01.02.2026" sheetId="1" r:id="rId12"/>
  </sheet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2" l="1"/>
  <c r="C7" i="12"/>
  <c r="O33" i="12"/>
  <c r="O32" i="12"/>
  <c r="O30" i="12"/>
  <c r="O29" i="12"/>
  <c r="O28" i="12"/>
  <c r="O27" i="12"/>
  <c r="O26" i="12"/>
  <c r="O25" i="12"/>
  <c r="O24" i="12"/>
  <c r="O47" i="12"/>
  <c r="O46" i="12"/>
  <c r="O45" i="12"/>
  <c r="O44" i="12"/>
  <c r="O43" i="12"/>
  <c r="O42" i="12"/>
  <c r="O41" i="12"/>
  <c r="O40" i="12"/>
  <c r="O48" i="12" s="1"/>
  <c r="O39" i="12"/>
  <c r="O38" i="12"/>
  <c r="C6" i="12"/>
  <c r="C5" i="12"/>
  <c r="O11" i="12"/>
  <c r="O18" i="12"/>
  <c r="L8" i="12"/>
  <c r="C10" i="12"/>
  <c r="C11" i="12"/>
  <c r="C33" i="12"/>
  <c r="O31" i="12"/>
  <c r="O34" i="12"/>
  <c r="O16" i="12"/>
  <c r="G16" i="12"/>
  <c r="O15" i="12"/>
  <c r="O14" i="12"/>
  <c r="O12" i="12"/>
  <c r="O10" i="12"/>
  <c r="O9" i="12"/>
  <c r="C9" i="12"/>
  <c r="O8" i="12"/>
  <c r="O19" i="12" s="1"/>
  <c r="L18" i="12"/>
  <c r="L21" i="12" s="1"/>
  <c r="O7" i="12"/>
  <c r="L7" i="12"/>
  <c r="O6" i="12"/>
  <c r="L6" i="12"/>
  <c r="C9" i="11"/>
  <c r="C8" i="11"/>
  <c r="C7" i="11"/>
  <c r="O33" i="11"/>
  <c r="O32" i="11"/>
  <c r="O31" i="11"/>
  <c r="O30" i="11"/>
  <c r="O29" i="11"/>
  <c r="O28" i="11"/>
  <c r="O27" i="11"/>
  <c r="O26" i="11"/>
  <c r="O25" i="11"/>
  <c r="O24" i="11"/>
  <c r="C6" i="11"/>
  <c r="C5" i="11"/>
  <c r="O38" i="11"/>
  <c r="O39" i="11"/>
  <c r="O40" i="11"/>
  <c r="O41" i="11"/>
  <c r="O42" i="11"/>
  <c r="O43" i="11"/>
  <c r="O44" i="11"/>
  <c r="O45" i="11"/>
  <c r="O46" i="11"/>
  <c r="O47" i="11"/>
  <c r="L8" i="11"/>
  <c r="O18" i="11"/>
  <c r="O15" i="11"/>
  <c r="O10" i="11"/>
  <c r="C11" i="11"/>
  <c r="C10" i="11"/>
  <c r="C33" i="11"/>
  <c r="O34" i="11"/>
  <c r="L18" i="11"/>
  <c r="L21" i="11" s="1"/>
  <c r="O16" i="11"/>
  <c r="G16" i="11"/>
  <c r="O14" i="11"/>
  <c r="O12" i="11"/>
  <c r="O11" i="11"/>
  <c r="O9" i="11"/>
  <c r="O19" i="11" s="1"/>
  <c r="O8" i="11"/>
  <c r="O7" i="11"/>
  <c r="L7" i="11"/>
  <c r="O6" i="11"/>
  <c r="L6" i="11"/>
  <c r="O33" i="10"/>
  <c r="O32" i="10"/>
  <c r="O31" i="10"/>
  <c r="O30" i="10"/>
  <c r="O29" i="10"/>
  <c r="O28" i="10"/>
  <c r="O27" i="10"/>
  <c r="O26" i="10"/>
  <c r="O25" i="10"/>
  <c r="O24" i="10"/>
  <c r="C8" i="10"/>
  <c r="C7" i="10"/>
  <c r="C6" i="10"/>
  <c r="C5" i="10"/>
  <c r="O47" i="10"/>
  <c r="O46" i="10"/>
  <c r="O45" i="10"/>
  <c r="O44" i="10"/>
  <c r="O43" i="10"/>
  <c r="O42" i="10"/>
  <c r="O41" i="10"/>
  <c r="O40" i="10"/>
  <c r="O39" i="10"/>
  <c r="O38" i="10"/>
  <c r="C9" i="10"/>
  <c r="C10" i="10"/>
  <c r="C11" i="10"/>
  <c r="O18" i="10"/>
  <c r="O8" i="10"/>
  <c r="O7" i="10"/>
  <c r="L21" i="10"/>
  <c r="L8" i="10"/>
  <c r="O48" i="10"/>
  <c r="O34" i="10"/>
  <c r="C33" i="10"/>
  <c r="O16" i="10"/>
  <c r="G16" i="10"/>
  <c r="O15" i="10"/>
  <c r="O14" i="10"/>
  <c r="O12" i="10"/>
  <c r="O11" i="10"/>
  <c r="O10" i="10"/>
  <c r="O9" i="10"/>
  <c r="L7" i="10"/>
  <c r="O6" i="10"/>
  <c r="L6" i="10"/>
  <c r="L18" i="10" s="1"/>
  <c r="O33" i="9"/>
  <c r="O32" i="9"/>
  <c r="O31" i="9"/>
  <c r="O30" i="9"/>
  <c r="O29" i="9"/>
  <c r="O28" i="9"/>
  <c r="O27" i="9"/>
  <c r="O26" i="9"/>
  <c r="O25" i="9"/>
  <c r="O24" i="9"/>
  <c r="O34" i="9" s="1"/>
  <c r="C8" i="9"/>
  <c r="C7" i="9"/>
  <c r="O8" i="9"/>
  <c r="O18" i="9"/>
  <c r="L7" i="9"/>
  <c r="C10" i="9"/>
  <c r="C11" i="9"/>
  <c r="C6" i="9"/>
  <c r="C5" i="9"/>
  <c r="O47" i="9"/>
  <c r="O46" i="9"/>
  <c r="O45" i="9"/>
  <c r="O44" i="9"/>
  <c r="O43" i="9"/>
  <c r="O42" i="9"/>
  <c r="O41" i="9"/>
  <c r="O40" i="9"/>
  <c r="O39" i="9"/>
  <c r="O38" i="9"/>
  <c r="O48" i="9"/>
  <c r="C33" i="9"/>
  <c r="O16" i="9"/>
  <c r="G16" i="9"/>
  <c r="O15" i="9"/>
  <c r="O14" i="9"/>
  <c r="O12" i="9"/>
  <c r="O11" i="9"/>
  <c r="O10" i="9"/>
  <c r="O9" i="9"/>
  <c r="C9" i="9"/>
  <c r="O7" i="9"/>
  <c r="O6" i="9"/>
  <c r="O19" i="9" s="1"/>
  <c r="L6" i="9"/>
  <c r="L18" i="9" s="1"/>
  <c r="L21" i="9" s="1"/>
  <c r="O31" i="7"/>
  <c r="O33" i="8"/>
  <c r="O32" i="8"/>
  <c r="O31" i="8"/>
  <c r="O30" i="8"/>
  <c r="O29" i="8"/>
  <c r="O28" i="8"/>
  <c r="O27" i="8"/>
  <c r="O26" i="8"/>
  <c r="O25" i="8"/>
  <c r="O24" i="8"/>
  <c r="C8" i="8"/>
  <c r="C7" i="8"/>
  <c r="C10" i="8"/>
  <c r="L7" i="8"/>
  <c r="O18" i="8"/>
  <c r="C6" i="8"/>
  <c r="C5" i="8"/>
  <c r="O47" i="8"/>
  <c r="O46" i="8"/>
  <c r="O45" i="8"/>
  <c r="O44" i="8"/>
  <c r="O43" i="8"/>
  <c r="O42" i="8"/>
  <c r="O41" i="8"/>
  <c r="O40" i="8"/>
  <c r="O39" i="8"/>
  <c r="O38" i="8"/>
  <c r="O48" i="8"/>
  <c r="C33" i="8"/>
  <c r="O16" i="8"/>
  <c r="G16" i="8"/>
  <c r="O15" i="8"/>
  <c r="O14" i="8"/>
  <c r="O12" i="8"/>
  <c r="O11" i="8"/>
  <c r="C11" i="8"/>
  <c r="O10" i="8"/>
  <c r="O9" i="8"/>
  <c r="C9" i="8"/>
  <c r="O8" i="8"/>
  <c r="O7" i="8"/>
  <c r="O6" i="8"/>
  <c r="O19" i="8" s="1"/>
  <c r="L6" i="8"/>
  <c r="L18" i="8" s="1"/>
  <c r="L21" i="8" s="1"/>
  <c r="O33" i="7"/>
  <c r="O32" i="7"/>
  <c r="O30" i="7"/>
  <c r="O29" i="7"/>
  <c r="O28" i="7"/>
  <c r="O27" i="7"/>
  <c r="O26" i="7"/>
  <c r="O25" i="7"/>
  <c r="O24" i="7"/>
  <c r="C6" i="7"/>
  <c r="C5" i="7"/>
  <c r="O47" i="7"/>
  <c r="O46" i="7"/>
  <c r="O45" i="7"/>
  <c r="O44" i="7"/>
  <c r="O43" i="7"/>
  <c r="O42" i="7"/>
  <c r="O41" i="7"/>
  <c r="O40" i="7"/>
  <c r="O39" i="7"/>
  <c r="O38" i="7"/>
  <c r="L7" i="7"/>
  <c r="O15" i="7"/>
  <c r="O18" i="7"/>
  <c r="O11" i="7"/>
  <c r="O7" i="7"/>
  <c r="O19" i="7" s="1"/>
  <c r="C9" i="7"/>
  <c r="C10" i="7"/>
  <c r="C11" i="7"/>
  <c r="O48" i="7"/>
  <c r="C33" i="7"/>
  <c r="O16" i="7"/>
  <c r="G16" i="7"/>
  <c r="O14" i="7"/>
  <c r="O12" i="7"/>
  <c r="O10" i="7"/>
  <c r="O9" i="7"/>
  <c r="O8" i="7"/>
  <c r="C8" i="7"/>
  <c r="L18" i="7"/>
  <c r="L21" i="7" s="1"/>
  <c r="C7" i="7"/>
  <c r="O6" i="7"/>
  <c r="L6" i="7"/>
  <c r="O33" i="6"/>
  <c r="O32" i="6"/>
  <c r="O30" i="6"/>
  <c r="O29" i="6"/>
  <c r="O28" i="6"/>
  <c r="O27" i="6"/>
  <c r="O26" i="6"/>
  <c r="O25" i="6"/>
  <c r="O34" i="6" s="1"/>
  <c r="O24" i="6"/>
  <c r="C8" i="6"/>
  <c r="C7" i="6"/>
  <c r="O47" i="6"/>
  <c r="O46" i="6"/>
  <c r="O45" i="6"/>
  <c r="O44" i="6"/>
  <c r="O43" i="6"/>
  <c r="O42" i="6"/>
  <c r="O41" i="6"/>
  <c r="O40" i="6"/>
  <c r="O39" i="6"/>
  <c r="O38" i="6"/>
  <c r="C6" i="6"/>
  <c r="C5" i="6"/>
  <c r="O9" i="6"/>
  <c r="O18" i="6"/>
  <c r="O19" i="6" s="1"/>
  <c r="O8" i="6"/>
  <c r="L7" i="6"/>
  <c r="C9" i="6"/>
  <c r="C10" i="6"/>
  <c r="C11" i="6"/>
  <c r="C33" i="6"/>
  <c r="L18" i="6"/>
  <c r="L21" i="6" s="1"/>
  <c r="O16" i="6"/>
  <c r="G16" i="6"/>
  <c r="O15" i="6"/>
  <c r="O14" i="6"/>
  <c r="O12" i="6"/>
  <c r="O11" i="6"/>
  <c r="O10" i="6"/>
  <c r="O7" i="6"/>
  <c r="O6" i="6"/>
  <c r="L6" i="6"/>
  <c r="O33" i="5"/>
  <c r="O32" i="5"/>
  <c r="O30" i="5"/>
  <c r="O29" i="5"/>
  <c r="O28" i="5"/>
  <c r="O27" i="5"/>
  <c r="O26" i="5"/>
  <c r="O25" i="5"/>
  <c r="O24" i="5"/>
  <c r="O34" i="5" s="1"/>
  <c r="C8" i="5"/>
  <c r="C7" i="5"/>
  <c r="C6" i="5"/>
  <c r="C5" i="5"/>
  <c r="O47" i="5"/>
  <c r="O46" i="5"/>
  <c r="O48" i="5" s="1"/>
  <c r="O45" i="5"/>
  <c r="O44" i="5"/>
  <c r="O43" i="5"/>
  <c r="O42" i="5"/>
  <c r="O41" i="5"/>
  <c r="O40" i="5"/>
  <c r="O39" i="5"/>
  <c r="O38" i="5"/>
  <c r="O6" i="5"/>
  <c r="O14" i="5"/>
  <c r="L6" i="5"/>
  <c r="L18" i="5" s="1"/>
  <c r="L21" i="5" s="1"/>
  <c r="C9" i="5"/>
  <c r="C10" i="5"/>
  <c r="C11" i="5"/>
  <c r="C33" i="5"/>
  <c r="O18" i="5"/>
  <c r="O16" i="5"/>
  <c r="G16" i="5"/>
  <c r="O15" i="5"/>
  <c r="O12" i="5"/>
  <c r="O11" i="5"/>
  <c r="O10" i="5"/>
  <c r="O7" i="5"/>
  <c r="O33" i="4"/>
  <c r="O32" i="4"/>
  <c r="O30" i="4"/>
  <c r="O29" i="4"/>
  <c r="O28" i="4"/>
  <c r="O34" i="4" s="1"/>
  <c r="O27" i="4"/>
  <c r="O26" i="4"/>
  <c r="O25" i="4"/>
  <c r="O24" i="4"/>
  <c r="C8" i="4"/>
  <c r="C7" i="4"/>
  <c r="O46" i="4"/>
  <c r="O47" i="4"/>
  <c r="O45" i="4"/>
  <c r="O44" i="4"/>
  <c r="O43" i="4"/>
  <c r="O42" i="4"/>
  <c r="O41" i="4"/>
  <c r="O48" i="4" s="1"/>
  <c r="O40" i="4"/>
  <c r="O39" i="4"/>
  <c r="O38" i="4"/>
  <c r="C6" i="4"/>
  <c r="C5" i="4"/>
  <c r="L6" i="4"/>
  <c r="C10" i="4"/>
  <c r="C33" i="4"/>
  <c r="O18" i="4"/>
  <c r="O15" i="4"/>
  <c r="O14" i="4"/>
  <c r="O11" i="4"/>
  <c r="O10" i="4"/>
  <c r="O7" i="4"/>
  <c r="L18" i="4"/>
  <c r="L21" i="4" s="1"/>
  <c r="C9" i="4"/>
  <c r="C11" i="4"/>
  <c r="O16" i="4"/>
  <c r="G16" i="4"/>
  <c r="O12" i="4"/>
  <c r="O6" i="4"/>
  <c r="O47" i="3"/>
  <c r="O45" i="3"/>
  <c r="O44" i="3"/>
  <c r="O43" i="3"/>
  <c r="O42" i="3"/>
  <c r="O40" i="3"/>
  <c r="O39" i="3"/>
  <c r="O38" i="3"/>
  <c r="O48" i="3" s="1"/>
  <c r="C6" i="3"/>
  <c r="C5" i="3"/>
  <c r="O30" i="3"/>
  <c r="O29" i="3"/>
  <c r="O28" i="3"/>
  <c r="O27" i="3"/>
  <c r="O26" i="3"/>
  <c r="O25" i="3"/>
  <c r="O24" i="3"/>
  <c r="C8" i="3"/>
  <c r="C7" i="3"/>
  <c r="O16" i="3"/>
  <c r="O15" i="3"/>
  <c r="O14" i="3"/>
  <c r="O12" i="3"/>
  <c r="L6" i="3"/>
  <c r="L18" i="3" s="1"/>
  <c r="L21" i="3" s="1"/>
  <c r="C9" i="3"/>
  <c r="C10" i="3"/>
  <c r="C11" i="3"/>
  <c r="C33" i="3"/>
  <c r="G16" i="3"/>
  <c r="O6" i="3"/>
  <c r="G16" i="1"/>
  <c r="C8" i="2"/>
  <c r="C7" i="2"/>
  <c r="O29" i="2"/>
  <c r="G16" i="2"/>
  <c r="O28" i="2"/>
  <c r="O27" i="2"/>
  <c r="O26" i="2"/>
  <c r="O25" i="2"/>
  <c r="O24" i="2"/>
  <c r="C5" i="2"/>
  <c r="O43" i="2"/>
  <c r="O40" i="2"/>
  <c r="O39" i="2"/>
  <c r="O38" i="2"/>
  <c r="O48" i="2"/>
  <c r="L6" i="2"/>
  <c r="L18" i="2" s="1"/>
  <c r="L21" i="2" s="1"/>
  <c r="C10" i="2"/>
  <c r="C11" i="2"/>
  <c r="O6" i="2"/>
  <c r="C31" i="2"/>
  <c r="O19" i="2"/>
  <c r="C9" i="2"/>
  <c r="C7" i="1"/>
  <c r="O28" i="1"/>
  <c r="C5" i="1"/>
  <c r="O48" i="1"/>
  <c r="O34" i="1"/>
  <c r="O19" i="1"/>
  <c r="C9" i="1"/>
  <c r="C11" i="1"/>
  <c r="O48" i="11" l="1"/>
  <c r="O19" i="10"/>
  <c r="O34" i="8"/>
  <c r="O34" i="7"/>
  <c r="O48" i="6"/>
  <c r="O19" i="5"/>
  <c r="O19" i="4"/>
  <c r="O34" i="3"/>
  <c r="O19" i="3"/>
  <c r="O34" i="2"/>
  <c r="L6" i="1"/>
  <c r="C10" i="1"/>
  <c r="C31" i="1" l="1"/>
  <c r="L18" i="1"/>
  <c r="L21" i="1" s="1"/>
</calcChain>
</file>

<file path=xl/sharedStrings.xml><?xml version="1.0" encoding="utf-8"?>
<sst xmlns="http://schemas.openxmlformats.org/spreadsheetml/2006/main" count="1352" uniqueCount="84">
  <si>
    <t>Recruiting Dashboard</t>
  </si>
  <si>
    <t>Monthly Submittals Internal Team</t>
  </si>
  <si>
    <t xml:space="preserve"> </t>
  </si>
  <si>
    <t>Recruiter</t>
  </si>
  <si>
    <t>Interviews</t>
  </si>
  <si>
    <t>Total</t>
  </si>
  <si>
    <t xml:space="preserve">Hires 2019 YTD </t>
  </si>
  <si>
    <t>Hires</t>
  </si>
  <si>
    <t>Monthly Submittals by External Teams</t>
  </si>
  <si>
    <t>Alex Espinosa</t>
  </si>
  <si>
    <t>January</t>
  </si>
  <si>
    <t>Ali El-Husseini</t>
  </si>
  <si>
    <t>Monthly Interviews by Internal Team</t>
  </si>
  <si>
    <t>February</t>
  </si>
  <si>
    <t>Dennis Watts</t>
  </si>
  <si>
    <t>Monthly Interviews by External Team</t>
  </si>
  <si>
    <t>Anania Tefera</t>
  </si>
  <si>
    <t>March</t>
  </si>
  <si>
    <t>Kathryn Atkinson</t>
  </si>
  <si>
    <t>Internal Referrals Hired This Month</t>
  </si>
  <si>
    <t>April</t>
  </si>
  <si>
    <t>Internal Transfer</t>
  </si>
  <si>
    <t>Hires This Month</t>
  </si>
  <si>
    <t>Frank Wang</t>
  </si>
  <si>
    <t>May</t>
  </si>
  <si>
    <t>Employee Referral</t>
  </si>
  <si>
    <t>Hires by Internal Recruiters</t>
  </si>
  <si>
    <t>Nandini Mittal</t>
  </si>
  <si>
    <t>June</t>
  </si>
  <si>
    <t>Other-Internal Referral</t>
  </si>
  <si>
    <t>Sunil Kumar</t>
  </si>
  <si>
    <t>July</t>
  </si>
  <si>
    <t>Z-Agency-Inabia Solutions</t>
  </si>
  <si>
    <t>Referrals</t>
  </si>
  <si>
    <t>August</t>
  </si>
  <si>
    <t>Z-Agency-SkinnyIT</t>
  </si>
  <si>
    <t>External Recruiters</t>
  </si>
  <si>
    <t>September</t>
  </si>
  <si>
    <t>Employee Referrals</t>
  </si>
  <si>
    <t>Z-Agency-Plan B Solutions</t>
  </si>
  <si>
    <t>Total Interviews</t>
  </si>
  <si>
    <t>October</t>
  </si>
  <si>
    <t>Hiring Manager Referral</t>
  </si>
  <si>
    <t>Grand Total</t>
  </si>
  <si>
    <t>November</t>
  </si>
  <si>
    <t>Client Referrals</t>
  </si>
  <si>
    <t>December</t>
  </si>
  <si>
    <t>Agency</t>
  </si>
  <si>
    <t>TOTALS</t>
  </si>
  <si>
    <t>Avg Hires Per Month</t>
  </si>
  <si>
    <t>Client Referral</t>
  </si>
  <si>
    <t>Agency - Harvey Nash</t>
  </si>
  <si>
    <t>Agency - Neocredence</t>
  </si>
  <si>
    <t>Agency - The Functionary</t>
  </si>
  <si>
    <t>Agency - Augmetek</t>
  </si>
  <si>
    <t>Agency - Staffing Tech</t>
  </si>
  <si>
    <t>Total Hires</t>
  </si>
  <si>
    <t>Agency - Barrister</t>
  </si>
  <si>
    <t>Tara Rogers</t>
  </si>
  <si>
    <t>Sethupathi Moorthi</t>
  </si>
  <si>
    <t>Recruiting Activity - Week ending 1/2/2026</t>
  </si>
  <si>
    <t>Interviews 2026</t>
  </si>
  <si>
    <t>Submittals 2026</t>
  </si>
  <si>
    <t>Hires 2026 YTD</t>
  </si>
  <si>
    <t>2026 YTD Hires Filled Information</t>
  </si>
  <si>
    <t xml:space="preserve">Recruiting Activity - 2026 YTD  </t>
  </si>
  <si>
    <t>Recruiting Activity - Week ending 1/9/2026</t>
  </si>
  <si>
    <t>Recruiting Activity - Week ending 1/16/2026</t>
  </si>
  <si>
    <t>Recruiting Activity - Week ending 1/23/2026</t>
  </si>
  <si>
    <t>Agency - Metni Engineering Services</t>
  </si>
  <si>
    <t>Agency - Rocket Staffing</t>
  </si>
  <si>
    <t>Recruiting Activity - Week ending 1/30/2026</t>
  </si>
  <si>
    <t>Recruiting Activity - Week ending 2/6/2026</t>
  </si>
  <si>
    <t>Recruiting Activity - Week ending 2/13/2026</t>
  </si>
  <si>
    <t>Agency - Lynx Recruitment</t>
  </si>
  <si>
    <t>Agency - Logistics Plus</t>
  </si>
  <si>
    <t>Recruiting Activity - Week ending 2/20/2026</t>
  </si>
  <si>
    <t>Agency - Field Nation</t>
  </si>
  <si>
    <t>Recruiting Activity - Week ending 2/27/2026</t>
  </si>
  <si>
    <t>Agency - Argano</t>
  </si>
  <si>
    <t>Recruiting Activity - Week ending 3/6/2026</t>
  </si>
  <si>
    <t>Recruiting Activity - Week ending 3/13/2026</t>
  </si>
  <si>
    <t>Agency - PNW Controls</t>
  </si>
  <si>
    <t>Recruiting Activity - Week ending 3/20/2026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</si>
</sst>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4" borderId="5" xfId="0" applyFont="1" applyFill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7" xfId="0" applyFont="1" applyFill="1" applyBorder="1"/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0" fillId="0" borderId="7" xfId="0" applyBorder="1"/>
    <xf numFmtId="0" fontId="2" fillId="4" borderId="8" xfId="0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1" fontId="5" fillId="0" borderId="8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0" xfId="0" quotePrefix="1"/>
    <xf numFmtId="0" fontId="0" fillId="0" borderId="6" xfId="0" applyBorder="1"/>
    <xf numFmtId="0" fontId="1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9" xfId="0" applyBorder="1"/>
    <xf numFmtId="1" fontId="5" fillId="0" borderId="9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4" borderId="11" xfId="0" applyFont="1" applyFill="1" applyBorder="1" applyAlignment="1">
      <alignment vertical="center"/>
    </xf>
    <xf numFmtId="1" fontId="5" fillId="0" borderId="12" xfId="0" applyNumberFormat="1" applyFont="1" applyBorder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12" xfId="0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164" fontId="8" fillId="0" borderId="9" xfId="0" applyNumberFormat="1" applyFont="1" applyBorder="1" applyAlignment="1">
      <alignment horizontal="left" vertical="center"/>
    </xf>
    <xf numFmtId="1" fontId="2" fillId="4" borderId="7" xfId="0" applyNumberFormat="1" applyFont="1" applyFill="1" applyBorder="1" applyAlignment="1">
      <alignment horizontal="center"/>
    </xf>
    <xf numFmtId="0" fontId="9" fillId="0" borderId="0" xfId="0" applyFont="1"/>
    <xf numFmtId="0" fontId="7" fillId="0" borderId="0" xfId="0" applyFont="1"/>
    <xf numFmtId="0" fontId="10" fillId="0" borderId="0" xfId="0" applyFont="1" applyAlignment="1">
      <alignment horizontal="center" vertical="center"/>
    </xf>
    <xf numFmtId="0" fontId="2" fillId="5" borderId="7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</cellXfs>
  <cellStyles count="1">
    <cellStyle name="Normal" xfId="0" builtinId="0"/>
  </cellStyles>
  <dxfs count="26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 style="medium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 style="medium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 style="medium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 style="medium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 style="medium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 style="medium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 style="medium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 style="medium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 style="medium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 style="medium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 style="medium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 style="medium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C:/C:/C:/Users/wjackson/Downloads/YTD%20Candidate%20Information%2011.30.19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hryn Atkinson" refreshedDate="43551.663864930553" createdVersion="6" refreshedVersion="6" minRefreshableVersion="3" recordCount="34" xr:uid="{39B256D5-E022-4144-B482-33DEB779D51E}">
  <cacheSource type="worksheet">
    <worksheetSource ref="A1:R35" sheet="YTD Hires by Recruiter" r:id="rId2"/>
  </cacheSource>
  <cacheFields count="18">
    <cacheField name="Req ID" numFmtId="0">
      <sharedItems containsSemiMixedTypes="0" containsString="0" containsNumber="1" containsInteger="1" minValue="2990" maxValue="3108"/>
    </cacheField>
    <cacheField name="Last " numFmtId="0">
      <sharedItems/>
    </cacheField>
    <cacheField name="First" numFmtId="0">
      <sharedItems/>
    </cacheField>
    <cacheField name="Hire Date" numFmtId="14">
      <sharedItems containsSemiMixedTypes="0" containsNonDate="0" containsDate="1" containsString="0" minDate="2019-01-02T00:00:00" maxDate="2019-03-07T00:00:00"/>
    </cacheField>
    <cacheField name="Term Date" numFmtId="0">
      <sharedItems containsNonDate="0" containsDate="1" containsString="0" containsBlank="1" minDate="2019-01-30T00:00:00" maxDate="2019-01-31T00:00:00"/>
    </cacheField>
    <cacheField name="90 Day" numFmtId="14">
      <sharedItems containsSemiMixedTypes="0" containsNonDate="0" containsDate="1" containsString="0" minDate="2019-04-02T00:00:00" maxDate="2019-05-26T00:00:00"/>
    </cacheField>
    <cacheField name="Employee Type" numFmtId="0">
      <sharedItems containsSemiMixedTypes="0" containsString="0" containsNumber="1" containsInteger="1" minValue="1" maxValue="9"/>
    </cacheField>
    <cacheField name="Title" numFmtId="0">
      <sharedItems/>
    </cacheField>
    <cacheField name="Source" numFmtId="0">
      <sharedItems/>
    </cacheField>
    <cacheField name="Recruiter" numFmtId="0">
      <sharedItems count="12">
        <s v="Dennis Watts"/>
        <s v="Employee Referral"/>
        <s v="Ali El-Husseini"/>
        <s v="Other-Internal Referral"/>
        <s v="Internal Transfer"/>
        <s v="Z-Agency-Inabia Solutions"/>
        <s v="Kathryn Atkinson"/>
        <s v="Z-Agency-SkinnyIT"/>
        <s v="Z-Agency-Plan B Solutions"/>
        <s v="Tyler Cassara" u="1"/>
        <s v="System Admin" u="1"/>
        <s v="Other Internal Referral" u="1"/>
      </sharedItems>
    </cacheField>
    <cacheField name="Internal / External" numFmtId="0">
      <sharedItems count="2">
        <s v="External"/>
        <s v="Internal"/>
      </sharedItems>
    </cacheField>
    <cacheField name="Dept" numFmtId="0">
      <sharedItems/>
    </cacheField>
    <cacheField name="Compensation" numFmtId="44">
      <sharedItems containsSemiMixedTypes="0" containsString="0" containsNumber="1" minValue="16.5" maxValue="200000"/>
    </cacheField>
    <cacheField name="Unit" numFmtId="0">
      <sharedItems/>
    </cacheField>
    <cacheField name="Bill Rate" numFmtId="44">
      <sharedItems containsMixedTypes="1" containsNumber="1" containsInteger="1" minValue="72" maxValue="150"/>
    </cacheField>
    <cacheField name="Recruiting Cost" numFmtId="0">
      <sharedItems containsMixedTypes="1" containsNumber="1" containsInteger="1" minValue="5000" maxValue="15600"/>
    </cacheField>
    <cacheField name="OTE" numFmtId="44">
      <sharedItems containsSemiMixedTypes="0" containsString="0" containsNumber="1" minValue="24000" maxValue="249600"/>
    </cacheField>
    <cacheField name="Savings of 20%" numFmtId="44">
      <sharedItems containsSemiMixedTypes="0" containsString="0" containsNumber="1" minValue="4800" maxValue="499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3014"/>
    <s v="Krasovskiy"/>
    <s v="Victor"/>
    <d v="2019-01-02T00:00:00"/>
    <m/>
    <d v="2019-04-02T00:00:00"/>
    <n v="9"/>
    <s v="QA Tester II"/>
    <s v="Dice Sourcing"/>
    <x v="0"/>
    <x v="0"/>
    <s v="001-10 T-Mobile"/>
    <n v="24"/>
    <s v="Hourly"/>
    <n v="74"/>
    <n v="5000"/>
    <n v="49920"/>
    <n v="9984"/>
  </r>
  <r>
    <n v="3047"/>
    <s v="Haj-Ali"/>
    <s v="Dana"/>
    <d v="2019-01-07T00:00:00"/>
    <m/>
    <d v="2019-04-07T00:00:00"/>
    <n v="9"/>
    <s v="QA Tester I"/>
    <s v="Employee Referral"/>
    <x v="1"/>
    <x v="1"/>
    <s v="001-10 T-Mobile"/>
    <n v="18"/>
    <s v="Hourly"/>
    <n v="72"/>
    <s v="NA"/>
    <n v="37440"/>
    <n v="7488"/>
  </r>
  <r>
    <n v="3062"/>
    <s v="Espinosa"/>
    <s v="Alexandra"/>
    <d v="2019-01-07T00:00:00"/>
    <m/>
    <d v="2019-04-07T00:00:00"/>
    <n v="9"/>
    <s v="Recruiting Coordinator"/>
    <s v="College Recruiting"/>
    <x v="2"/>
    <x v="1"/>
    <s v="001-10 T-Mobile"/>
    <n v="19"/>
    <s v="Hourly"/>
    <n v="72"/>
    <s v="NA"/>
    <n v="39520"/>
    <n v="7904"/>
  </r>
  <r>
    <n v="3035"/>
    <s v="Hollands"/>
    <s v="Andrew"/>
    <d v="2019-01-15T00:00:00"/>
    <m/>
    <d v="2019-04-15T00:00:00"/>
    <n v="4"/>
    <s v="Mobile Software Developer"/>
    <s v="Other-Internal Referral"/>
    <x v="3"/>
    <x v="1"/>
    <s v="001-12 EADG"/>
    <n v="120"/>
    <s v="Hourly"/>
    <s v="NA"/>
    <s v="NA"/>
    <n v="249600"/>
    <n v="49920"/>
  </r>
  <r>
    <n v="3036"/>
    <s v="Martin"/>
    <s v="Jim"/>
    <d v="2019-01-15T00:00:00"/>
    <m/>
    <d v="2019-04-15T00:00:00"/>
    <n v="4"/>
    <s v="Mobile Software Developer"/>
    <s v="Other-Internal Referral"/>
    <x v="3"/>
    <x v="1"/>
    <s v="001-12 EADG"/>
    <n v="80"/>
    <s v="Hourly"/>
    <s v="NA"/>
    <s v="NA"/>
    <n v="166400"/>
    <n v="33280"/>
  </r>
  <r>
    <n v="3072"/>
    <s v="Long"/>
    <s v="Eric"/>
    <d v="2019-01-14T00:00:00"/>
    <m/>
    <d v="2019-04-14T00:00:00"/>
    <n v="4"/>
    <s v="Systems Administrator"/>
    <s v="Other-Internal Referral"/>
    <x v="3"/>
    <x v="1"/>
    <s v="001-15 WA-MSSG"/>
    <n v="100"/>
    <s v="Hourly"/>
    <n v="150"/>
    <s v="NA"/>
    <n v="208000"/>
    <n v="41600"/>
  </r>
  <r>
    <n v="3068"/>
    <s v="Deuterman"/>
    <s v="Holly"/>
    <d v="2019-01-23T00:00:00"/>
    <m/>
    <d v="2019-04-23T00:00:00"/>
    <n v="2"/>
    <s v="Logistics Analyst/Coordinator"/>
    <s v="Employee Referral"/>
    <x v="1"/>
    <x v="1"/>
    <s v="001-32 Amazon Support Services"/>
    <n v="19"/>
    <s v="Hourly"/>
    <s v="NA"/>
    <s v="NA"/>
    <n v="39520"/>
    <n v="7904"/>
  </r>
  <r>
    <n v="3054"/>
    <s v="Hodges"/>
    <s v="Charles"/>
    <d v="2019-01-21T00:00:00"/>
    <m/>
    <d v="2019-04-21T00:00:00"/>
    <n v="1"/>
    <s v="Service Engagement Manager I"/>
    <s v="Internal Transfer"/>
    <x v="4"/>
    <x v="1"/>
    <s v="002-24 Managed Device Lifecycle Sprt Svcs"/>
    <n v="72600"/>
    <s v="Annual"/>
    <s v="NA"/>
    <s v="NA"/>
    <n v="72600"/>
    <n v="14520"/>
  </r>
  <r>
    <n v="3078"/>
    <s v="Wei"/>
    <s v="Bin"/>
    <d v="2019-01-23T00:00:00"/>
    <m/>
    <d v="2019-04-23T00:00:00"/>
    <n v="4"/>
    <s v="Software Engineer"/>
    <s v="Z-Agency-Inabia Solutions"/>
    <x v="5"/>
    <x v="0"/>
    <s v="001-12 EADG"/>
    <n v="70"/>
    <s v="Hourly"/>
    <n v="110"/>
    <s v="NA"/>
    <n v="145600"/>
    <n v="29120"/>
  </r>
  <r>
    <n v="3082"/>
    <s v="Avramenko"/>
    <s v="Kyrylo"/>
    <d v="2019-01-23T00:00:00"/>
    <d v="2019-01-30T00:00:00"/>
    <d v="2019-04-23T00:00:00"/>
    <n v="4"/>
    <s v="Software Engineer"/>
    <s v="Z-Agency-Inabia Solutions"/>
    <x v="5"/>
    <x v="0"/>
    <s v="001-12 EADG"/>
    <n v="55"/>
    <s v="Hourly"/>
    <n v="110"/>
    <s v="NA"/>
    <n v="114400"/>
    <n v="22880"/>
  </r>
  <r>
    <n v="3080"/>
    <s v="Garcia"/>
    <s v="Brian"/>
    <d v="2019-01-30T00:00:00"/>
    <m/>
    <d v="2019-04-30T00:00:00"/>
    <n v="9"/>
    <s v="Mobile Software Developer"/>
    <s v="Other-Internal Referral"/>
    <x v="3"/>
    <x v="1"/>
    <s v="001-12 EADG"/>
    <n v="53"/>
    <s v="Hourly"/>
    <s v="NA"/>
    <s v="NA"/>
    <n v="110240"/>
    <n v="22048"/>
  </r>
  <r>
    <n v="3046"/>
    <s v="Brocklander"/>
    <s v="Paul"/>
    <d v="2019-01-28T00:00:00"/>
    <m/>
    <d v="2019-04-28T00:00:00"/>
    <n v="2"/>
    <s v="Desktop Support Technician I"/>
    <s v="Indeed Job Posting"/>
    <x v="6"/>
    <x v="1"/>
    <s v="001-82 Professional Services"/>
    <n v="18"/>
    <s v="Hourly"/>
    <n v="110"/>
    <s v="NA"/>
    <n v="37440"/>
    <n v="7488"/>
  </r>
  <r>
    <n v="2990"/>
    <s v="Prasek"/>
    <s v="Matthew"/>
    <d v="2019-02-04T00:00:00"/>
    <m/>
    <d v="2019-05-05T00:00:00"/>
    <n v="2"/>
    <s v="QA Tester III"/>
    <s v="Other Internal Referral"/>
    <x v="3"/>
    <x v="1"/>
    <s v="001-10 T-Mobile"/>
    <n v="43.5"/>
    <s v="Hourly"/>
    <n v="110"/>
    <s v="NA"/>
    <n v="90480"/>
    <n v="18096"/>
  </r>
  <r>
    <n v="3074"/>
    <s v="Bigby"/>
    <s v="Matthew"/>
    <d v="2019-02-06T00:00:00"/>
    <m/>
    <d v="2019-05-07T00:00:00"/>
    <n v="9"/>
    <s v="Technical Program Manager, Telecomm"/>
    <s v="Monster.com Sourcing"/>
    <x v="0"/>
    <x v="0"/>
    <s v="001-10 T-Mobile"/>
    <n v="75"/>
    <s v="Hourly"/>
    <n v="110"/>
    <n v="15600"/>
    <n v="156000"/>
    <n v="31200"/>
  </r>
  <r>
    <n v="3069"/>
    <s v="Davis"/>
    <s v="Matthew"/>
    <d v="2019-02-06T00:00:00"/>
    <m/>
    <d v="2019-05-07T00:00:00"/>
    <n v="2"/>
    <s v="Software Engineer - Embedded Linux"/>
    <s v="Monster.com Sourcing"/>
    <x v="0"/>
    <x v="0"/>
    <s v="001-10 T-Mobile"/>
    <n v="65"/>
    <s v="Hourly"/>
    <n v="110"/>
    <n v="13520"/>
    <n v="135200"/>
    <n v="27040"/>
  </r>
  <r>
    <n v="3061"/>
    <s v="Adam"/>
    <s v="Madhavi"/>
    <d v="2019-02-13T00:00:00"/>
    <m/>
    <d v="2019-05-14T00:00:00"/>
    <n v="1"/>
    <s v="SQL Database Administrator I"/>
    <s v="Dice Job Posting"/>
    <x v="0"/>
    <x v="0"/>
    <s v="001-82 Professional Services"/>
    <n v="83200"/>
    <s v="Annual"/>
    <s v="NA"/>
    <n v="5000"/>
    <n v="83200"/>
    <n v="16640"/>
  </r>
  <r>
    <n v="3057"/>
    <s v="Phelps"/>
    <s v="Timothy"/>
    <d v="2019-02-11T00:00:00"/>
    <m/>
    <d v="2019-05-12T00:00:00"/>
    <n v="2"/>
    <s v="Warehouse Clerk"/>
    <s v="Indeed Job Posting"/>
    <x v="6"/>
    <x v="1"/>
    <s v="001-32 Amazon Support Services"/>
    <n v="16.5"/>
    <s v="Hourly"/>
    <s v="NA"/>
    <s v="NA"/>
    <n v="34320"/>
    <n v="6864"/>
  </r>
  <r>
    <n v="3041"/>
    <s v="Las"/>
    <s v="Adam"/>
    <d v="2019-02-15T00:00:00"/>
    <m/>
    <d v="2019-05-16T00:00:00"/>
    <n v="7"/>
    <s v="Account Executive"/>
    <s v="Employee Referral"/>
    <x v="1"/>
    <x v="1"/>
    <s v="002-20 Sales"/>
    <n v="96000"/>
    <s v="Annual"/>
    <s v="NA"/>
    <s v="NA"/>
    <n v="96000"/>
    <n v="19200"/>
  </r>
  <r>
    <n v="3070"/>
    <s v="Fix"/>
    <s v="Susan"/>
    <d v="2019-02-11T00:00:00"/>
    <m/>
    <d v="2019-05-12T00:00:00"/>
    <n v="2"/>
    <s v="Sales Support Rep II"/>
    <s v="Client Referral"/>
    <x v="6"/>
    <x v="1"/>
    <s v="004-35 HDW Support Services"/>
    <n v="28.85"/>
    <s v="Hourly"/>
    <s v="NA"/>
    <s v="NA"/>
    <n v="60008"/>
    <n v="12001.6"/>
  </r>
  <r>
    <n v="3019"/>
    <s v="Chambers"/>
    <s v="Brian"/>
    <d v="2019-02-11T00:00:00"/>
    <m/>
    <d v="2019-05-12T00:00:00"/>
    <n v="1"/>
    <s v="Senior Solutions Architect"/>
    <s v="Other-Internal Referral"/>
    <x v="3"/>
    <x v="1"/>
    <s v="001-03 Solutions Architecture"/>
    <n v="200000"/>
    <s v="Annual"/>
    <s v="NA"/>
    <s v="NA"/>
    <n v="200000"/>
    <n v="40000"/>
  </r>
  <r>
    <n v="3087"/>
    <s v="Bracelin"/>
    <s v="Michele"/>
    <d v="2019-02-13T00:00:00"/>
    <m/>
    <d v="2019-05-14T00:00:00"/>
    <n v="4"/>
    <s v="Infrastructure Program Manager"/>
    <s v="Z-Agency-Inabia Solutions"/>
    <x v="5"/>
    <x v="0"/>
    <s v="001-10 T-Mobile"/>
    <n v="94"/>
    <s v="Hourly"/>
    <n v="125"/>
    <s v="NA"/>
    <n v="195520"/>
    <n v="39104"/>
  </r>
  <r>
    <n v="3022"/>
    <s v="Rojas Angeles"/>
    <s v="Emmanuel"/>
    <d v="2019-02-11T00:00:00"/>
    <m/>
    <d v="2019-05-12T00:00:00"/>
    <n v="4"/>
    <s v="Service Desk Analyst I"/>
    <s v="Z-Agency-SkinnyIT"/>
    <x v="7"/>
    <x v="0"/>
    <s v="001-21 Service Desk"/>
    <n v="2000"/>
    <s v="monthly"/>
    <s v="NA"/>
    <s v="NA"/>
    <n v="24000"/>
    <n v="4800"/>
  </r>
  <r>
    <n v="3048"/>
    <s v="Bhojwani"/>
    <s v="Shweta"/>
    <d v="2019-02-18T00:00:00"/>
    <m/>
    <d v="2019-05-19T00:00:00"/>
    <n v="2"/>
    <s v="Build Engineer I"/>
    <s v="Monster Job Posting"/>
    <x v="0"/>
    <x v="0"/>
    <s v="001-82 Professional Services"/>
    <n v="26"/>
    <s v="Hourly"/>
    <s v="NA"/>
    <n v="5000"/>
    <n v="54080"/>
    <n v="10816"/>
  </r>
  <r>
    <n v="3007"/>
    <s v="Colburn"/>
    <s v="Zachary"/>
    <d v="2019-02-18T00:00:00"/>
    <m/>
    <d v="2019-05-19T00:00:00"/>
    <n v="1"/>
    <s v="Network Engineer I"/>
    <s v="Employee Referral"/>
    <x v="1"/>
    <x v="1"/>
    <s v="001-09 Core Infrastructure"/>
    <n v="74000"/>
    <s v="Annual"/>
    <n v="100"/>
    <s v="NA"/>
    <n v="74000"/>
    <n v="14800"/>
  </r>
  <r>
    <n v="3058"/>
    <s v="Culai"/>
    <s v="Carina"/>
    <d v="2019-02-25T00:00:00"/>
    <m/>
    <d v="2019-05-25T00:00:00"/>
    <n v="9"/>
    <s v="QA Tester I"/>
    <s v="Indeed Job Posting"/>
    <x v="2"/>
    <x v="1"/>
    <s v="001-10 T-Mobile"/>
    <n v="18"/>
    <s v="Hourly"/>
    <n v="72"/>
    <s v="NA"/>
    <n v="37440"/>
    <n v="7488"/>
  </r>
  <r>
    <n v="3079"/>
    <s v="Schmitz"/>
    <s v="Alexandra"/>
    <d v="2019-02-25T00:00:00"/>
    <m/>
    <d v="2019-05-25T00:00:00"/>
    <n v="2"/>
    <s v="Administrative Assistant I"/>
    <s v="ZipRecruiter.com Organic Post"/>
    <x v="2"/>
    <x v="1"/>
    <s v="001-10 T-Mobile"/>
    <n v="18"/>
    <s v="Hourly"/>
    <n v="72"/>
    <s v="NA"/>
    <n v="37440"/>
    <n v="7488"/>
  </r>
  <r>
    <n v="3053"/>
    <s v="Rios"/>
    <s v="Noemi"/>
    <d v="2019-02-25T00:00:00"/>
    <m/>
    <d v="2019-05-25T00:00:00"/>
    <n v="7"/>
    <s v="Account Executive - Mobility"/>
    <s v="Denali AI Career Website"/>
    <x v="6"/>
    <x v="1"/>
    <s v="002-20 Sales"/>
    <n v="125000"/>
    <s v="Annual"/>
    <s v="NA"/>
    <s v="NA"/>
    <n v="150000"/>
    <n v="30000"/>
  </r>
  <r>
    <n v="3052"/>
    <s v="Caldwell"/>
    <s v="Rebecca"/>
    <d v="2019-02-25T00:00:00"/>
    <m/>
    <d v="2019-05-25T00:00:00"/>
    <n v="7"/>
    <s v="Account Executive - Mobility"/>
    <s v="Monster.com Sourcing"/>
    <x v="6"/>
    <x v="1"/>
    <s v="002-20 Sales"/>
    <n v="160000"/>
    <s v="Annual"/>
    <s v="NA"/>
    <s v="NA"/>
    <n v="225000"/>
    <n v="45000"/>
  </r>
  <r>
    <n v="3093"/>
    <s v="Jung"/>
    <s v="Mike"/>
    <d v="2019-02-25T00:00:00"/>
    <m/>
    <d v="2019-05-25T00:00:00"/>
    <n v="2"/>
    <s v="Build Engineer I"/>
    <s v="Monster Job Posting"/>
    <x v="6"/>
    <x v="1"/>
    <s v="001-82 Professional Services"/>
    <n v="27"/>
    <s v="Hourly"/>
    <s v="NA"/>
    <s v="NA"/>
    <n v="56160"/>
    <n v="11232"/>
  </r>
  <r>
    <n v="3091"/>
    <s v="Mcmillan"/>
    <s v="Jason"/>
    <d v="2019-02-25T00:00:00"/>
    <m/>
    <d v="2019-05-25T00:00:00"/>
    <n v="1"/>
    <s v="Senior Application Support Specialist"/>
    <s v="Other-Internal Referral"/>
    <x v="3"/>
    <x v="1"/>
    <s v="004-08 WA Systems"/>
    <n v="110000"/>
    <s v="Annual"/>
    <s v="NA"/>
    <s v="NA"/>
    <n v="110000"/>
    <n v="22000"/>
  </r>
  <r>
    <n v="3076"/>
    <s v="Trumpey"/>
    <s v="Christopher"/>
    <d v="2019-02-25T00:00:00"/>
    <m/>
    <d v="2019-05-25T00:00:00"/>
    <n v="1"/>
    <s v="Project Manager II"/>
    <s v="Employee Referral"/>
    <x v="1"/>
    <x v="1"/>
    <s v="001-09 Core Infrastructure"/>
    <n v="125000"/>
    <s v="Annual"/>
    <n v="150"/>
    <s v="NA"/>
    <n v="135000"/>
    <n v="27000"/>
  </r>
  <r>
    <n v="3090"/>
    <s v="Siakel"/>
    <s v="Bret"/>
    <d v="2019-03-06T00:00:00"/>
    <m/>
    <d v="2019-05-06T00:00:00"/>
    <n v="1"/>
    <s v="SharePoint Developer III"/>
    <s v="Monster.com Sourcing"/>
    <x v="0"/>
    <x v="0"/>
    <s v="001-17 DenaliAI WA-MSSP"/>
    <n v="115000"/>
    <s v="Annual"/>
    <n v="115"/>
    <n v="11500"/>
    <n v="124200.00000000001"/>
    <n v="23000"/>
  </r>
  <r>
    <n v="3108"/>
    <s v="Lalehchini"/>
    <s v="Mo"/>
    <d v="2019-03-04T00:00:00"/>
    <m/>
    <d v="2019-05-04T00:00:00"/>
    <n v="3"/>
    <s v="Mobile Designer"/>
    <s v="Z-Agency-Plan B Solutions"/>
    <x v="8"/>
    <x v="0"/>
    <s v="001-12 EADG"/>
    <n v="70"/>
    <s v="Hourly"/>
    <s v="NA"/>
    <s v="NA"/>
    <n v="145600"/>
    <n v="29120"/>
  </r>
  <r>
    <n v="3042"/>
    <s v="Cherry"/>
    <s v="Unique"/>
    <d v="2019-03-04T00:00:00"/>
    <m/>
    <d v="2019-05-04T00:00:00"/>
    <n v="7"/>
    <s v="Account Executive"/>
    <s v="Employee Referral"/>
    <x v="1"/>
    <x v="1"/>
    <s v="002-20 Sales"/>
    <n v="65000"/>
    <s v="Annual"/>
    <s v="NA"/>
    <s v="NA"/>
    <n v="85000"/>
    <n v="1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2DAD9-6EB4-4F3C-AB70-F52D9EBBCC59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ires 2019 YTD ">
  <location ref="R5:S15" firstHeaderRow="1" firstDataRow="1" firstDataCol="1"/>
  <pivotFields count="18">
    <pivotField showAll="0" defaultSubtotal="0"/>
    <pivotField dataField="1" showAll="0" defaultSubtotal="0"/>
    <pivotField showAll="0" defaultSubtotal="0"/>
    <pivotField numFmtId="165" showAll="0"/>
    <pivotField showAll="0" defaultSubtotal="0"/>
    <pivotField numFmtId="14" showAll="0" defaultSubtotal="0"/>
    <pivotField showAll="0" defaultSubtotal="0"/>
    <pivotField showAll="0" defaultSubtotal="0"/>
    <pivotField showAll="0"/>
    <pivotField axis="axisRow" showAll="0">
      <items count="13">
        <item x="2"/>
        <item x="0"/>
        <item x="6"/>
        <item m="1" x="10"/>
        <item m="1" x="9"/>
        <item x="4"/>
        <item x="1"/>
        <item x="3"/>
        <item x="5"/>
        <item m="1" x="11"/>
        <item x="7"/>
        <item x="8"/>
        <item t="default"/>
      </items>
    </pivotField>
    <pivotField showAll="0" defaultSubtotal="0"/>
    <pivotField showAll="0" defaultSubtotal="0"/>
    <pivotField numFmtId="44" showAll="0" defaultSubtotal="0"/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</pivotFields>
  <rowFields count="1">
    <field x="9"/>
  </rowFields>
  <rowItems count="10">
    <i>
      <x/>
    </i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Hires" fld="1" subtotal="count" baseField="0" baseItem="0"/>
  </dataFields>
  <formats count="18">
    <format dxfId="263">
      <pivotArea type="all" dataOnly="0" outline="0" fieldPosition="0"/>
    </format>
    <format dxfId="262">
      <pivotArea outline="0" collapsedLevelsAreSubtotals="1" fieldPosition="0"/>
    </format>
    <format dxfId="261">
      <pivotArea field="9" type="button" dataOnly="0" labelOnly="1" outline="0" axis="axisRow" fieldPosition="0"/>
    </format>
    <format dxfId="260">
      <pivotArea dataOnly="0" labelOnly="1" fieldPosition="0">
        <references count="1">
          <reference field="9" count="0"/>
        </references>
      </pivotArea>
    </format>
    <format dxfId="259">
      <pivotArea dataOnly="0" labelOnly="1" grandRow="1" outline="0" fieldPosition="0"/>
    </format>
    <format dxfId="258">
      <pivotArea dataOnly="0" labelOnly="1" outline="0" axis="axisValues" fieldPosition="0"/>
    </format>
    <format dxfId="257">
      <pivotArea field="9" type="button" dataOnly="0" labelOnly="1" outline="0" axis="axisRow" fieldPosition="0"/>
    </format>
    <format dxfId="256">
      <pivotArea dataOnly="0" labelOnly="1" outline="0" axis="axisValues" fieldPosition="0"/>
    </format>
    <format dxfId="255">
      <pivotArea grandRow="1" outline="0" collapsedLevelsAreSubtotals="1" fieldPosition="0"/>
    </format>
    <format dxfId="254">
      <pivotArea dataOnly="0" labelOnly="1" grandRow="1" outline="0" fieldPosition="0"/>
    </format>
    <format dxfId="253">
      <pivotArea collapsedLevelsAreSubtotals="1" fieldPosition="0">
        <references count="1">
          <reference field="9" count="0"/>
        </references>
      </pivotArea>
    </format>
    <format dxfId="252">
      <pivotArea type="all" dataOnly="0" outline="0" fieldPosition="0"/>
    </format>
    <format dxfId="251">
      <pivotArea outline="0" collapsedLevelsAreSubtotals="1" fieldPosition="0"/>
    </format>
    <format dxfId="250">
      <pivotArea field="9" type="button" dataOnly="0" labelOnly="1" outline="0" axis="axisRow" fieldPosition="0"/>
    </format>
    <format dxfId="249">
      <pivotArea dataOnly="0" labelOnly="1" outline="0" axis="axisValues" fieldPosition="0"/>
    </format>
    <format dxfId="248">
      <pivotArea dataOnly="0" labelOnly="1" fieldPosition="0">
        <references count="1">
          <reference field="9" count="0"/>
        </references>
      </pivotArea>
    </format>
    <format dxfId="247">
      <pivotArea dataOnly="0" labelOnly="1" grandRow="1" outline="0" fieldPosition="0"/>
    </format>
    <format dxfId="2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0114B-D4D7-41F3-8568-91EB5260CA5D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ires 2019 YTD ">
  <location ref="R5:S15" firstHeaderRow="1" firstDataRow="1" firstDataCol="1"/>
  <pivotFields count="18">
    <pivotField showAll="0" defaultSubtotal="0"/>
    <pivotField dataField="1" showAll="0" defaultSubtotal="0"/>
    <pivotField showAll="0" defaultSubtotal="0"/>
    <pivotField numFmtId="165" showAll="0"/>
    <pivotField showAll="0" defaultSubtotal="0"/>
    <pivotField numFmtId="14" showAll="0" defaultSubtotal="0"/>
    <pivotField showAll="0" defaultSubtotal="0"/>
    <pivotField showAll="0" defaultSubtotal="0"/>
    <pivotField showAll="0"/>
    <pivotField axis="axisRow" showAll="0">
      <items count="13">
        <item x="2"/>
        <item x="0"/>
        <item x="6"/>
        <item m="1" x="10"/>
        <item m="1" x="9"/>
        <item x="4"/>
        <item x="1"/>
        <item x="3"/>
        <item x="5"/>
        <item m="1" x="11"/>
        <item x="7"/>
        <item x="8"/>
        <item t="default"/>
      </items>
    </pivotField>
    <pivotField showAll="0" defaultSubtotal="0"/>
    <pivotField showAll="0" defaultSubtotal="0"/>
    <pivotField numFmtId="44" showAll="0" defaultSubtotal="0"/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</pivotFields>
  <rowFields count="1">
    <field x="9"/>
  </rowFields>
  <rowItems count="10">
    <i>
      <x/>
    </i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Hires" fld="1" subtotal="count" baseField="0" baseItem="0"/>
  </dataFields>
  <formats count="18">
    <format dxfId="241">
      <pivotArea type="all" dataOnly="0" outline="0" fieldPosition="0"/>
    </format>
    <format dxfId="240">
      <pivotArea outline="0" collapsedLevelsAreSubtotals="1" fieldPosition="0"/>
    </format>
    <format dxfId="239">
      <pivotArea field="9" type="button" dataOnly="0" labelOnly="1" outline="0" axis="axisRow" fieldPosition="0"/>
    </format>
    <format dxfId="238">
      <pivotArea dataOnly="0" labelOnly="1" fieldPosition="0">
        <references count="1">
          <reference field="9" count="0"/>
        </references>
      </pivotArea>
    </format>
    <format dxfId="237">
      <pivotArea dataOnly="0" labelOnly="1" grandRow="1" outline="0" fieldPosition="0"/>
    </format>
    <format dxfId="236">
      <pivotArea dataOnly="0" labelOnly="1" outline="0" axis="axisValues" fieldPosition="0"/>
    </format>
    <format dxfId="235">
      <pivotArea field="9" type="button" dataOnly="0" labelOnly="1" outline="0" axis="axisRow" fieldPosition="0"/>
    </format>
    <format dxfId="234">
      <pivotArea dataOnly="0" labelOnly="1" outline="0" axis="axisValues" fieldPosition="0"/>
    </format>
    <format dxfId="233">
      <pivotArea grandRow="1" outline="0" collapsedLevelsAreSubtotals="1" fieldPosition="0"/>
    </format>
    <format dxfId="232">
      <pivotArea dataOnly="0" labelOnly="1" grandRow="1" outline="0" fieldPosition="0"/>
    </format>
    <format dxfId="231">
      <pivotArea collapsedLevelsAreSubtotals="1" fieldPosition="0">
        <references count="1">
          <reference field="9" count="0"/>
        </references>
      </pivotArea>
    </format>
    <format dxfId="230">
      <pivotArea type="all" dataOnly="0" outline="0" fieldPosition="0"/>
    </format>
    <format dxfId="229">
      <pivotArea outline="0" collapsedLevelsAreSubtotals="1" fieldPosition="0"/>
    </format>
    <format dxfId="228">
      <pivotArea field="9" type="button" dataOnly="0" labelOnly="1" outline="0" axis="axisRow" fieldPosition="0"/>
    </format>
    <format dxfId="227">
      <pivotArea dataOnly="0" labelOnly="1" outline="0" axis="axisValues" fieldPosition="0"/>
    </format>
    <format dxfId="226">
      <pivotArea dataOnly="0" labelOnly="1" fieldPosition="0">
        <references count="1">
          <reference field="9" count="0"/>
        </references>
      </pivotArea>
    </format>
    <format dxfId="225">
      <pivotArea dataOnly="0" labelOnly="1" grandRow="1" outline="0" fieldPosition="0"/>
    </format>
    <format dxfId="2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C717A-D4BD-4025-84DC-17627CEED9FC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ires 2019 YTD ">
  <location ref="R5:S15" firstHeaderRow="1" firstDataRow="1" firstDataCol="1"/>
  <pivotFields count="18">
    <pivotField showAll="0" defaultSubtotal="0"/>
    <pivotField dataField="1" showAll="0" defaultSubtotal="0"/>
    <pivotField showAll="0" defaultSubtotal="0"/>
    <pivotField numFmtId="165" showAll="0"/>
    <pivotField showAll="0" defaultSubtotal="0"/>
    <pivotField numFmtId="14" showAll="0" defaultSubtotal="0"/>
    <pivotField showAll="0" defaultSubtotal="0"/>
    <pivotField showAll="0" defaultSubtotal="0"/>
    <pivotField showAll="0"/>
    <pivotField axis="axisRow" showAll="0">
      <items count="13">
        <item x="2"/>
        <item x="0"/>
        <item x="6"/>
        <item m="1" x="10"/>
        <item m="1" x="9"/>
        <item x="4"/>
        <item x="1"/>
        <item x="3"/>
        <item x="5"/>
        <item m="1" x="11"/>
        <item x="7"/>
        <item x="8"/>
        <item t="default"/>
      </items>
    </pivotField>
    <pivotField showAll="0" defaultSubtotal="0"/>
    <pivotField showAll="0" defaultSubtotal="0"/>
    <pivotField numFmtId="44" showAll="0" defaultSubtotal="0"/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</pivotFields>
  <rowFields count="1">
    <field x="9"/>
  </rowFields>
  <rowItems count="10">
    <i>
      <x/>
    </i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Hires" fld="1" subtotal="count" baseField="0" baseItem="0"/>
  </dataFields>
  <formats count="18"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9" type="button" dataOnly="0" labelOnly="1" outline="0" axis="axisRow" fieldPosition="0"/>
    </format>
    <format dxfId="216">
      <pivotArea dataOnly="0" labelOnly="1" fieldPosition="0">
        <references count="1">
          <reference field="9" count="0"/>
        </references>
      </pivotArea>
    </format>
    <format dxfId="215">
      <pivotArea dataOnly="0" labelOnly="1" grandRow="1" outline="0" fieldPosition="0"/>
    </format>
    <format dxfId="214">
      <pivotArea dataOnly="0" labelOnly="1" outline="0" axis="axisValues" fieldPosition="0"/>
    </format>
    <format dxfId="213">
      <pivotArea field="9" type="button" dataOnly="0" labelOnly="1" outline="0" axis="axisRow" fieldPosition="0"/>
    </format>
    <format dxfId="212">
      <pivotArea dataOnly="0" labelOnly="1" outline="0" axis="axisValues" fieldPosition="0"/>
    </format>
    <format dxfId="211">
      <pivotArea grandRow="1" outline="0" collapsedLevelsAreSubtotals="1" fieldPosition="0"/>
    </format>
    <format dxfId="210">
      <pivotArea dataOnly="0" labelOnly="1" grandRow="1" outline="0" fieldPosition="0"/>
    </format>
    <format dxfId="209">
      <pivotArea collapsedLevelsAreSubtotals="1" fieldPosition="0">
        <references count="1">
          <reference field="9" count="0"/>
        </references>
      </pivotArea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9" type="button" dataOnly="0" labelOnly="1" outline="0" axis="axisRow" fieldPosition="0"/>
    </format>
    <format dxfId="205">
      <pivotArea dataOnly="0" labelOnly="1" outline="0" axis="axisValues" fieldPosition="0"/>
    </format>
    <format dxfId="204">
      <pivotArea dataOnly="0" labelOnly="1" fieldPosition="0">
        <references count="1">
          <reference field="9" count="0"/>
        </references>
      </pivotArea>
    </format>
    <format dxfId="203">
      <pivotArea dataOnly="0" labelOnly="1" grandRow="1" outline="0" fieldPosition="0"/>
    </format>
    <format dxfId="2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2B412-B7EA-4749-B095-E50DABD61165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ires 2019 YTD ">
  <location ref="R5:S15" firstHeaderRow="1" firstDataRow="1" firstDataCol="1"/>
  <pivotFields count="18">
    <pivotField showAll="0" defaultSubtotal="0"/>
    <pivotField dataField="1" showAll="0" defaultSubtotal="0"/>
    <pivotField showAll="0" defaultSubtotal="0"/>
    <pivotField numFmtId="165" showAll="0"/>
    <pivotField showAll="0" defaultSubtotal="0"/>
    <pivotField numFmtId="14" showAll="0" defaultSubtotal="0"/>
    <pivotField showAll="0" defaultSubtotal="0"/>
    <pivotField showAll="0" defaultSubtotal="0"/>
    <pivotField showAll="0"/>
    <pivotField axis="axisRow" showAll="0">
      <items count="13">
        <item x="2"/>
        <item x="0"/>
        <item x="6"/>
        <item m="1" x="10"/>
        <item m="1" x="9"/>
        <item x="4"/>
        <item x="1"/>
        <item x="3"/>
        <item x="5"/>
        <item m="1" x="11"/>
        <item x="7"/>
        <item x="8"/>
        <item t="default"/>
      </items>
    </pivotField>
    <pivotField showAll="0" defaultSubtotal="0"/>
    <pivotField showAll="0" defaultSubtotal="0"/>
    <pivotField numFmtId="44" showAll="0" defaultSubtotal="0"/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</pivotFields>
  <rowFields count="1">
    <field x="9"/>
  </rowFields>
  <rowItems count="10">
    <i>
      <x/>
    </i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Hires" fld="1" subtotal="count" baseField="0" baseItem="0"/>
  </dataFields>
  <formats count="18"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9" type="button" dataOnly="0" labelOnly="1" outline="0" axis="axisRow" fieldPosition="0"/>
    </format>
    <format dxfId="194">
      <pivotArea dataOnly="0" labelOnly="1" fieldPosition="0">
        <references count="1">
          <reference field="9" count="0"/>
        </references>
      </pivotArea>
    </format>
    <format dxfId="193">
      <pivotArea dataOnly="0" labelOnly="1" grandRow="1" outline="0" fieldPosition="0"/>
    </format>
    <format dxfId="192">
      <pivotArea dataOnly="0" labelOnly="1" outline="0" axis="axisValues" fieldPosition="0"/>
    </format>
    <format dxfId="191">
      <pivotArea field="9" type="button" dataOnly="0" labelOnly="1" outline="0" axis="axisRow" fieldPosition="0"/>
    </format>
    <format dxfId="190">
      <pivotArea dataOnly="0" labelOnly="1" outline="0" axis="axisValues" fieldPosition="0"/>
    </format>
    <format dxfId="189">
      <pivotArea grandRow="1" outline="0" collapsedLevelsAreSubtotals="1" fieldPosition="0"/>
    </format>
    <format dxfId="188">
      <pivotArea dataOnly="0" labelOnly="1" grandRow="1" outline="0" fieldPosition="0"/>
    </format>
    <format dxfId="187">
      <pivotArea collapsedLevelsAreSubtotals="1" fieldPosition="0">
        <references count="1">
          <reference field="9" count="0"/>
        </references>
      </pivotArea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9" type="button" dataOnly="0" labelOnly="1" outline="0" axis="axisRow" fieldPosition="0"/>
    </format>
    <format dxfId="183">
      <pivotArea dataOnly="0" labelOnly="1" outline="0" axis="axisValues" fieldPosition="0"/>
    </format>
    <format dxfId="182">
      <pivotArea dataOnly="0" labelOnly="1" fieldPosition="0">
        <references count="1">
          <reference field="9" count="0"/>
        </references>
      </pivotArea>
    </format>
    <format dxfId="181">
      <pivotArea dataOnly="0" labelOnly="1" grandRow="1" outline="0" fieldPosition="0"/>
    </format>
    <format dxfId="1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8085B-251D-4149-85DB-AF82B93F88AB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ires 2019 YTD ">
  <location ref="R5:S15" firstHeaderRow="1" firstDataRow="1" firstDataCol="1"/>
  <pivotFields count="18">
    <pivotField showAll="0" defaultSubtotal="0"/>
    <pivotField dataField="1" showAll="0" defaultSubtotal="0"/>
    <pivotField showAll="0" defaultSubtotal="0"/>
    <pivotField numFmtId="165" showAll="0"/>
    <pivotField showAll="0" defaultSubtotal="0"/>
    <pivotField numFmtId="14" showAll="0" defaultSubtotal="0"/>
    <pivotField showAll="0" defaultSubtotal="0"/>
    <pivotField showAll="0" defaultSubtotal="0"/>
    <pivotField showAll="0"/>
    <pivotField axis="axisRow" showAll="0">
      <items count="13">
        <item x="2"/>
        <item x="0"/>
        <item x="6"/>
        <item m="1" x="10"/>
        <item m="1" x="9"/>
        <item x="4"/>
        <item x="1"/>
        <item x="3"/>
        <item x="5"/>
        <item m="1" x="11"/>
        <item x="7"/>
        <item x="8"/>
        <item t="default"/>
      </items>
    </pivotField>
    <pivotField showAll="0" defaultSubtotal="0"/>
    <pivotField showAll="0" defaultSubtotal="0"/>
    <pivotField numFmtId="44" showAll="0" defaultSubtotal="0"/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</pivotFields>
  <rowFields count="1">
    <field x="9"/>
  </rowFields>
  <rowItems count="10">
    <i>
      <x/>
    </i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Hires" fld="1" subtotal="count" baseField="0" baseItem="0"/>
  </dataFields>
  <formats count="18"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9" type="button" dataOnly="0" labelOnly="1" outline="0" axis="axisRow" fieldPosition="0"/>
    </format>
    <format dxfId="172">
      <pivotArea dataOnly="0" labelOnly="1" fieldPosition="0">
        <references count="1">
          <reference field="9" count="0"/>
        </references>
      </pivotArea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69">
      <pivotArea field="9" type="button" dataOnly="0" labelOnly="1" outline="0" axis="axisRow" fieldPosition="0"/>
    </format>
    <format dxfId="168">
      <pivotArea dataOnly="0" labelOnly="1" outline="0" axis="axisValues" fieldPosition="0"/>
    </format>
    <format dxfId="167">
      <pivotArea grandRow="1" outline="0" collapsedLevelsAreSubtotals="1" fieldPosition="0"/>
    </format>
    <format dxfId="166">
      <pivotArea dataOnly="0" labelOnly="1" grandRow="1" outline="0" fieldPosition="0"/>
    </format>
    <format dxfId="165">
      <pivotArea collapsedLevelsAreSubtotals="1" fieldPosition="0">
        <references count="1">
          <reference field="9" count="0"/>
        </references>
      </pivotArea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9" type="button" dataOnly="0" labelOnly="1" outline="0" axis="axisRow" fieldPosition="0"/>
    </format>
    <format dxfId="161">
      <pivotArea dataOnly="0" labelOnly="1" outline="0" axis="axisValues" fieldPosition="0"/>
    </format>
    <format dxfId="160">
      <pivotArea dataOnly="0" labelOnly="1" fieldPosition="0">
        <references count="1">
          <reference field="9" count="0"/>
        </references>
      </pivotArea>
    </format>
    <format dxfId="159">
      <pivotArea dataOnly="0" labelOnly="1" grandRow="1" outline="0" fieldPosition="0"/>
    </format>
    <format dxfId="1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23453-096C-4474-AFBA-C8F8FA41A63D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ires 2019 YTD ">
  <location ref="R5:S15" firstHeaderRow="1" firstDataRow="1" firstDataCol="1"/>
  <pivotFields count="18">
    <pivotField showAll="0" defaultSubtotal="0"/>
    <pivotField dataField="1" showAll="0" defaultSubtotal="0"/>
    <pivotField showAll="0" defaultSubtotal="0"/>
    <pivotField numFmtId="165" showAll="0"/>
    <pivotField showAll="0" defaultSubtotal="0"/>
    <pivotField numFmtId="14" showAll="0" defaultSubtotal="0"/>
    <pivotField showAll="0" defaultSubtotal="0"/>
    <pivotField showAll="0" defaultSubtotal="0"/>
    <pivotField showAll="0"/>
    <pivotField axis="axisRow" showAll="0">
      <items count="13">
        <item x="2"/>
        <item x="0"/>
        <item x="6"/>
        <item m="1" x="10"/>
        <item m="1" x="9"/>
        <item x="4"/>
        <item x="1"/>
        <item x="3"/>
        <item x="5"/>
        <item m="1" x="11"/>
        <item x="7"/>
        <item x="8"/>
        <item t="default"/>
      </items>
    </pivotField>
    <pivotField showAll="0" defaultSubtotal="0"/>
    <pivotField showAll="0" defaultSubtotal="0"/>
    <pivotField numFmtId="44" showAll="0" defaultSubtotal="0"/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</pivotFields>
  <rowFields count="1">
    <field x="9"/>
  </rowFields>
  <rowItems count="10">
    <i>
      <x/>
    </i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Hires" fld="1" subtotal="count" baseField="0" baseItem="0"/>
  </dataFields>
  <formats count="18"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9" type="button" dataOnly="0" labelOnly="1" outline="0" axis="axisRow" fieldPosition="0"/>
    </format>
    <format dxfId="150">
      <pivotArea dataOnly="0" labelOnly="1" fieldPosition="0">
        <references count="1">
          <reference field="9" count="0"/>
        </references>
      </pivotArea>
    </format>
    <format dxfId="149">
      <pivotArea dataOnly="0" labelOnly="1" grandRow="1" outline="0" fieldPosition="0"/>
    </format>
    <format dxfId="148">
      <pivotArea dataOnly="0" labelOnly="1" outline="0" axis="axisValues" fieldPosition="0"/>
    </format>
    <format dxfId="147">
      <pivotArea field="9" type="button" dataOnly="0" labelOnly="1" outline="0" axis="axisRow" fieldPosition="0"/>
    </format>
    <format dxfId="146">
      <pivotArea dataOnly="0" labelOnly="1" outline="0" axis="axisValues" fieldPosition="0"/>
    </format>
    <format dxfId="145">
      <pivotArea grandRow="1" outline="0" collapsedLevelsAreSubtotals="1" fieldPosition="0"/>
    </format>
    <format dxfId="144">
      <pivotArea dataOnly="0" labelOnly="1" grandRow="1" outline="0" fieldPosition="0"/>
    </format>
    <format dxfId="143">
      <pivotArea collapsedLevelsAreSubtotals="1" fieldPosition="0">
        <references count="1">
          <reference field="9" count="0"/>
        </references>
      </pivotArea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9" type="button" dataOnly="0" labelOnly="1" outline="0" axis="axisRow" fieldPosition="0"/>
    </format>
    <format dxfId="139">
      <pivotArea dataOnly="0" labelOnly="1" outline="0" axis="axisValues" fieldPosition="0"/>
    </format>
    <format dxfId="138">
      <pivotArea dataOnly="0" labelOnly="1" fieldPosition="0">
        <references count="1">
          <reference field="9" count="0"/>
        </references>
      </pivotArea>
    </format>
    <format dxfId="137">
      <pivotArea dataOnly="0" labelOnly="1" grandRow="1" outline="0" fieldPosition="0"/>
    </format>
    <format dxfId="1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90452-6637-4203-B3A2-B5BC04A205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ires 2019 YTD ">
  <location ref="R5:S15" firstHeaderRow="1" firstDataRow="1" firstDataCol="1"/>
  <pivotFields count="18">
    <pivotField showAll="0" defaultSubtotal="0"/>
    <pivotField dataField="1" showAll="0" defaultSubtotal="0"/>
    <pivotField showAll="0" defaultSubtotal="0"/>
    <pivotField numFmtId="165" showAll="0"/>
    <pivotField showAll="0" defaultSubtotal="0"/>
    <pivotField numFmtId="14" showAll="0" defaultSubtotal="0"/>
    <pivotField showAll="0" defaultSubtotal="0"/>
    <pivotField showAll="0" defaultSubtotal="0"/>
    <pivotField showAll="0"/>
    <pivotField axis="axisRow" showAll="0">
      <items count="13">
        <item x="2"/>
        <item x="0"/>
        <item x="6"/>
        <item m="1" x="10"/>
        <item m="1" x="9"/>
        <item x="4"/>
        <item x="1"/>
        <item x="3"/>
        <item x="5"/>
        <item m="1" x="11"/>
        <item x="7"/>
        <item x="8"/>
        <item t="default"/>
      </items>
    </pivotField>
    <pivotField showAll="0" defaultSubtotal="0"/>
    <pivotField showAll="0" defaultSubtotal="0"/>
    <pivotField numFmtId="44" showAll="0" defaultSubtotal="0"/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</pivotFields>
  <rowFields count="1">
    <field x="9"/>
  </rowFields>
  <rowItems count="10">
    <i>
      <x/>
    </i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Hires" fld="1" subtotal="count" baseField="0" baseItem="0"/>
  </dataFields>
  <formats count="18"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9" type="button" dataOnly="0" labelOnly="1" outline="0" axis="axisRow" fieldPosition="0"/>
    </format>
    <format dxfId="128">
      <pivotArea dataOnly="0" labelOnly="1" fieldPosition="0">
        <references count="1">
          <reference field="9" count="0"/>
        </references>
      </pivotArea>
    </format>
    <format dxfId="127">
      <pivotArea dataOnly="0" labelOnly="1" grandRow="1" outline="0" fieldPosition="0"/>
    </format>
    <format dxfId="126">
      <pivotArea dataOnly="0" labelOnly="1" outline="0" axis="axisValues" fieldPosition="0"/>
    </format>
    <format dxfId="125">
      <pivotArea field="9" type="button" dataOnly="0" labelOnly="1" outline="0" axis="axisRow" fieldPosition="0"/>
    </format>
    <format dxfId="124">
      <pivotArea dataOnly="0" labelOnly="1" outline="0" axis="axisValues" fieldPosition="0"/>
    </format>
    <format dxfId="123">
      <pivotArea grandRow="1" outline="0" collapsedLevelsAreSubtotals="1" fieldPosition="0"/>
    </format>
    <format dxfId="122">
      <pivotArea dataOnly="0" labelOnly="1" grandRow="1" outline="0" fieldPosition="0"/>
    </format>
    <format dxfId="121">
      <pivotArea collapsedLevelsAreSubtotals="1" fieldPosition="0">
        <references count="1">
          <reference field="9" count="0"/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9" type="button" dataOnly="0" labelOnly="1" outline="0" axis="axisRow" fieldPosition="0"/>
    </format>
    <format dxfId="117">
      <pivotArea dataOnly="0" labelOnly="1" outline="0" axis="axisValues" fieldPosition="0"/>
    </format>
    <format dxfId="116">
      <pivotArea dataOnly="0" labelOnly="1" fieldPosition="0">
        <references count="1">
          <reference field="9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F6E20-0321-429E-833F-BC9E0C1D6E1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ires 2019 YTD ">
  <location ref="R5:S15" firstHeaderRow="1" firstDataRow="1" firstDataCol="1"/>
  <pivotFields count="18">
    <pivotField showAll="0" defaultSubtotal="0"/>
    <pivotField dataField="1" showAll="0" defaultSubtotal="0"/>
    <pivotField showAll="0" defaultSubtotal="0"/>
    <pivotField numFmtId="165" showAll="0"/>
    <pivotField showAll="0" defaultSubtotal="0"/>
    <pivotField numFmtId="14" showAll="0" defaultSubtotal="0"/>
    <pivotField showAll="0" defaultSubtotal="0"/>
    <pivotField showAll="0" defaultSubtotal="0"/>
    <pivotField showAll="0"/>
    <pivotField axis="axisRow" showAll="0">
      <items count="13">
        <item x="2"/>
        <item x="0"/>
        <item x="6"/>
        <item m="1" x="10"/>
        <item m="1" x="9"/>
        <item x="4"/>
        <item x="1"/>
        <item x="3"/>
        <item x="5"/>
        <item m="1" x="11"/>
        <item x="7"/>
        <item x="8"/>
        <item t="default"/>
      </items>
    </pivotField>
    <pivotField showAll="0" defaultSubtotal="0"/>
    <pivotField showAll="0" defaultSubtotal="0"/>
    <pivotField numFmtId="44" showAll="0" defaultSubtotal="0"/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</pivotFields>
  <rowFields count="1">
    <field x="9"/>
  </rowFields>
  <rowItems count="10">
    <i>
      <x/>
    </i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Hires" fld="1" subtotal="count" baseField="0" baseItem="0"/>
  </dataFields>
  <formats count="18"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9" type="button" dataOnly="0" labelOnly="1" outline="0" axis="axisRow" fieldPosition="0"/>
    </format>
    <format dxfId="106">
      <pivotArea dataOnly="0" labelOnly="1" fieldPosition="0">
        <references count="1">
          <reference field="9" count="0"/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  <format dxfId="103">
      <pivotArea field="9" type="button" dataOnly="0" labelOnly="1" outline="0" axis="axisRow" fieldPosition="0"/>
    </format>
    <format dxfId="102">
      <pivotArea dataOnly="0" labelOnly="1" outline="0" axis="axisValues" fieldPosition="0"/>
    </format>
    <format dxfId="101">
      <pivotArea grandRow="1" outline="0" collapsedLevelsAreSubtotals="1" fieldPosition="0"/>
    </format>
    <format dxfId="100">
      <pivotArea dataOnly="0" labelOnly="1" grandRow="1" outline="0" fieldPosition="0"/>
    </format>
    <format dxfId="99">
      <pivotArea collapsedLevelsAreSubtotals="1" fieldPosition="0">
        <references count="1">
          <reference field="9" count="0"/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9" type="button" dataOnly="0" labelOnly="1" outline="0" axis="axisRow" fieldPosition="0"/>
    </format>
    <format dxfId="95">
      <pivotArea dataOnly="0" labelOnly="1" outline="0" axis="axisValues" fieldPosition="0"/>
    </format>
    <format dxfId="94">
      <pivotArea dataOnly="0" labelOnly="1" fieldPosition="0">
        <references count="1">
          <reference field="9" count="0"/>
        </references>
      </pivotArea>
    </format>
    <format dxfId="93">
      <pivotArea dataOnly="0" labelOnly="1" grandRow="1" outline="0" fieldPosition="0"/>
    </format>
    <format dxfId="9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2235B-B78E-47AA-AF33-DDADF96CE457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ires 2019 YTD ">
  <location ref="R5:S15" firstHeaderRow="1" firstDataRow="1" firstDataCol="1"/>
  <pivotFields count="18">
    <pivotField showAll="0" defaultSubtotal="0"/>
    <pivotField dataField="1" showAll="0" defaultSubtotal="0"/>
    <pivotField showAll="0" defaultSubtotal="0"/>
    <pivotField numFmtId="165" showAll="0"/>
    <pivotField showAll="0" defaultSubtotal="0"/>
    <pivotField numFmtId="14" showAll="0" defaultSubtotal="0"/>
    <pivotField showAll="0" defaultSubtotal="0"/>
    <pivotField showAll="0" defaultSubtotal="0"/>
    <pivotField showAll="0"/>
    <pivotField axis="axisRow" showAll="0">
      <items count="13">
        <item x="2"/>
        <item x="0"/>
        <item x="6"/>
        <item m="1" x="10"/>
        <item m="1" x="9"/>
        <item x="4"/>
        <item x="1"/>
        <item x="3"/>
        <item x="5"/>
        <item m="1" x="11"/>
        <item x="7"/>
        <item x="8"/>
        <item t="default"/>
      </items>
    </pivotField>
    <pivotField showAll="0" defaultSubtotal="0"/>
    <pivotField showAll="0" defaultSubtotal="0"/>
    <pivotField numFmtId="44" showAll="0" defaultSubtotal="0"/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</pivotFields>
  <rowFields count="1">
    <field x="9"/>
  </rowFields>
  <rowItems count="10">
    <i>
      <x/>
    </i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Hires" fld="1" subtotal="count" baseField="0" baseItem="0"/>
  </dataFields>
  <formats count="18"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9" type="button" dataOnly="0" labelOnly="1" outline="0" axis="axisRow" fieldPosition="0"/>
    </format>
    <format dxfId="84">
      <pivotArea dataOnly="0" labelOnly="1" fieldPosition="0">
        <references count="1">
          <reference field="9" count="0"/>
        </references>
      </pivotArea>
    </format>
    <format dxfId="83">
      <pivotArea dataOnly="0" labelOnly="1" grandRow="1" outline="0" fieldPosition="0"/>
    </format>
    <format dxfId="82">
      <pivotArea dataOnly="0" labelOnly="1" outline="0" axis="axisValues" fieldPosition="0"/>
    </format>
    <format dxfId="81">
      <pivotArea field="9" type="button" dataOnly="0" labelOnly="1" outline="0" axis="axisRow" fieldPosition="0"/>
    </format>
    <format dxfId="80">
      <pivotArea dataOnly="0" labelOnly="1" outline="0" axis="axisValues" fieldPosition="0"/>
    </format>
    <format dxfId="79">
      <pivotArea grandRow="1" outline="0" collapsedLevelsAreSubtotals="1" fieldPosition="0"/>
    </format>
    <format dxfId="78">
      <pivotArea dataOnly="0" labelOnly="1" grandRow="1" outline="0" fieldPosition="0"/>
    </format>
    <format dxfId="77">
      <pivotArea collapsedLevelsAreSubtotals="1" fieldPosition="0">
        <references count="1">
          <reference field="9" count="0"/>
        </references>
      </pivotArea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9" type="button" dataOnly="0" labelOnly="1" outline="0" axis="axisRow" fieldPosition="0"/>
    </format>
    <format dxfId="73">
      <pivotArea dataOnly="0" labelOnly="1" outline="0" axis="axisValues" fieldPosition="0"/>
    </format>
    <format dxfId="72">
      <pivotArea dataOnly="0" labelOnly="1" fieldPosition="0">
        <references count="1">
          <reference field="9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DB2C2-C69B-4920-B01C-A4089229E666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ires 2019 YTD ">
  <location ref="R5:S15" firstHeaderRow="1" firstDataRow="1" firstDataCol="1"/>
  <pivotFields count="18">
    <pivotField showAll="0" defaultSubtotal="0"/>
    <pivotField dataField="1" showAll="0" defaultSubtotal="0"/>
    <pivotField showAll="0" defaultSubtotal="0"/>
    <pivotField numFmtId="165" showAll="0"/>
    <pivotField showAll="0" defaultSubtotal="0"/>
    <pivotField numFmtId="14" showAll="0" defaultSubtotal="0"/>
    <pivotField showAll="0" defaultSubtotal="0"/>
    <pivotField showAll="0" defaultSubtotal="0"/>
    <pivotField showAll="0"/>
    <pivotField axis="axisRow" showAll="0">
      <items count="13">
        <item x="2"/>
        <item x="0"/>
        <item x="6"/>
        <item m="1" x="10"/>
        <item m="1" x="9"/>
        <item x="4"/>
        <item x="1"/>
        <item x="3"/>
        <item x="5"/>
        <item m="1" x="11"/>
        <item x="7"/>
        <item x="8"/>
        <item t="default"/>
      </items>
    </pivotField>
    <pivotField showAll="0" defaultSubtotal="0"/>
    <pivotField showAll="0" defaultSubtotal="0"/>
    <pivotField numFmtId="44" showAll="0" defaultSubtotal="0"/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</pivotFields>
  <rowFields count="1">
    <field x="9"/>
  </rowFields>
  <rowItems count="10">
    <i>
      <x/>
    </i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Hires" fld="1" subtotal="count" baseField="0" baseItem="0"/>
  </dataFields>
  <formats count="18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9" type="button" dataOnly="0" labelOnly="1" outline="0" axis="axisRow" fieldPosition="0"/>
    </format>
    <format dxfId="62">
      <pivotArea dataOnly="0" labelOnly="1" fieldPosition="0">
        <references count="1">
          <reference field="9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field="9" type="button" dataOnly="0" labelOnly="1" outline="0" axis="axisRow" fieldPosition="0"/>
    </format>
    <format dxfId="58">
      <pivotArea dataOnly="0" labelOnly="1" outline="0" axis="axisValues" fieldPosition="0"/>
    </format>
    <format dxfId="57">
      <pivotArea grandRow="1" outline="0" collapsedLevelsAreSubtotals="1" fieldPosition="0"/>
    </format>
    <format dxfId="56">
      <pivotArea dataOnly="0" labelOnly="1" grandRow="1" outline="0" fieldPosition="0"/>
    </format>
    <format dxfId="55">
      <pivotArea collapsedLevelsAreSubtotals="1" fieldPosition="0">
        <references count="1">
          <reference field="9" count="0"/>
        </references>
      </pivotArea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9" type="button" dataOnly="0" labelOnly="1" outline="0" axis="axisRow" fieldPosition="0"/>
    </format>
    <format dxfId="51">
      <pivotArea dataOnly="0" labelOnly="1" outline="0" axis="axisValues" fieldPosition="0"/>
    </format>
    <format dxfId="50">
      <pivotArea dataOnly="0" labelOnly="1" fieldPosition="0">
        <references count="1">
          <reference field="9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709EE-A51C-4273-8E7A-962B80E172D2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ires 2019 YTD ">
  <location ref="R5:S15" firstHeaderRow="1" firstDataRow="1" firstDataCol="1"/>
  <pivotFields count="18">
    <pivotField showAll="0" defaultSubtotal="0"/>
    <pivotField dataField="1" showAll="0" defaultSubtotal="0"/>
    <pivotField showAll="0" defaultSubtotal="0"/>
    <pivotField numFmtId="165" showAll="0"/>
    <pivotField showAll="0" defaultSubtotal="0"/>
    <pivotField numFmtId="14" showAll="0" defaultSubtotal="0"/>
    <pivotField showAll="0" defaultSubtotal="0"/>
    <pivotField showAll="0" defaultSubtotal="0"/>
    <pivotField showAll="0"/>
    <pivotField axis="axisRow" showAll="0">
      <items count="13">
        <item x="2"/>
        <item x="0"/>
        <item x="6"/>
        <item m="1" x="10"/>
        <item m="1" x="9"/>
        <item x="4"/>
        <item x="1"/>
        <item x="3"/>
        <item x="5"/>
        <item m="1" x="11"/>
        <item x="7"/>
        <item x="8"/>
        <item t="default"/>
      </items>
    </pivotField>
    <pivotField showAll="0" defaultSubtotal="0"/>
    <pivotField showAll="0" defaultSubtotal="0"/>
    <pivotField numFmtId="44" showAll="0" defaultSubtotal="0"/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</pivotFields>
  <rowFields count="1">
    <field x="9"/>
  </rowFields>
  <rowItems count="10">
    <i>
      <x/>
    </i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Hires" fld="1" subtotal="count" baseField="0" baseItem="0"/>
  </dataFields>
  <formats count="18"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9" type="button" dataOnly="0" labelOnly="1" outline="0" axis="axisRow" fieldPosition="0"/>
    </format>
    <format dxfId="40">
      <pivotArea dataOnly="0" labelOnly="1" fieldPosition="0">
        <references count="1">
          <reference field="9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  <format dxfId="37">
      <pivotArea field="9" type="button" dataOnly="0" labelOnly="1" outline="0" axis="axisRow" fieldPosition="0"/>
    </format>
    <format dxfId="36">
      <pivotArea dataOnly="0" labelOnly="1" outline="0" axis="axisValues" fieldPosition="0"/>
    </format>
    <format dxfId="35">
      <pivotArea grandRow="1" outline="0" collapsedLevelsAreSubtotals="1" fieldPosition="0"/>
    </format>
    <format dxfId="34">
      <pivotArea dataOnly="0" labelOnly="1" grandRow="1" outline="0" fieldPosition="0"/>
    </format>
    <format dxfId="33">
      <pivotArea collapsedLevelsAreSubtotals="1" fieldPosition="0">
        <references count="1">
          <reference field="9" count="0"/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9" type="button" dataOnly="0" labelOnly="1" outline="0" axis="axisRow" fieldPosition="0"/>
    </format>
    <format dxfId="29">
      <pivotArea dataOnly="0" labelOnly="1" outline="0" axis="axisValues" fieldPosition="0"/>
    </format>
    <format dxfId="28">
      <pivotArea dataOnly="0" labelOnly="1" fieldPosition="0">
        <references count="1">
          <reference field="9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C6244-EA9F-44FA-ADD1-82A3259BE1C8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ires 2019 YTD ">
  <location ref="R5:S15" firstHeaderRow="1" firstDataRow="1" firstDataCol="1"/>
  <pivotFields count="18">
    <pivotField showAll="0" defaultSubtotal="0"/>
    <pivotField dataField="1" showAll="0" defaultSubtotal="0"/>
    <pivotField showAll="0" defaultSubtotal="0"/>
    <pivotField numFmtId="165" showAll="0"/>
    <pivotField showAll="0" defaultSubtotal="0"/>
    <pivotField numFmtId="14" showAll="0" defaultSubtotal="0"/>
    <pivotField showAll="0" defaultSubtotal="0"/>
    <pivotField showAll="0" defaultSubtotal="0"/>
    <pivotField showAll="0"/>
    <pivotField axis="axisRow" showAll="0">
      <items count="13">
        <item x="2"/>
        <item x="0"/>
        <item x="6"/>
        <item m="1" x="10"/>
        <item m="1" x="9"/>
        <item x="4"/>
        <item x="1"/>
        <item x="3"/>
        <item x="5"/>
        <item m="1" x="11"/>
        <item x="7"/>
        <item x="8"/>
        <item t="default"/>
      </items>
    </pivotField>
    <pivotField showAll="0" defaultSubtotal="0"/>
    <pivotField showAll="0" defaultSubtotal="0"/>
    <pivotField numFmtId="44" showAll="0" defaultSubtotal="0"/>
    <pivotField showAll="0" defaultSubtotal="0"/>
    <pivotField showAll="0" defaultSubtotal="0"/>
    <pivotField showAll="0" defaultSubtotal="0"/>
    <pivotField numFmtId="44" showAll="0" defaultSubtotal="0"/>
    <pivotField numFmtId="44" showAll="0" defaultSubtotal="0"/>
  </pivotFields>
  <rowFields count="1">
    <field x="9"/>
  </rowFields>
  <rowItems count="10">
    <i>
      <x/>
    </i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 t="grand">
      <x/>
    </i>
  </rowItems>
  <colItems count="1">
    <i/>
  </colItems>
  <dataFields count="1">
    <dataField name="Hires" fld="1" subtotal="count" baseField="0" baseItem="0"/>
  </dataFields>
  <formats count="18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9" type="button" dataOnly="0" labelOnly="1" outline="0" axis="axisRow" fieldPosition="0"/>
    </format>
    <format dxfId="18">
      <pivotArea dataOnly="0" labelOnly="1" fieldPosition="0">
        <references count="1">
          <reference field="9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field="9" type="button" dataOnly="0" labelOnly="1" outline="0" axis="axisRow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9" count="0"/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9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fieldPosition="0">
        <references count="1">
          <reference field="9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28D7513-0ABC-4B03-836C-34E1723B32DC}" name="Table134567891011121314151617181920212223242526272829303132333435363738394041424344454647483456789101113141516171819202122232426272829313032333435363738403941424344454746495051525334576891011121314151617181920212223242526272829303132333435363738394041413" displayName="Table134567891011121314151617181920212223242526272829303132333435363738394041424344454647483456789101113141516171819202122232426272829313032333435363738403941424344454746495051525334576891011121314151617181920212223242526272829303132333435363738394041413" ref="K5:L18" totalsRowShown="0" headerRowDxfId="245" tableBorderDxfId="244">
  <autoFilter ref="K5:L18" xr:uid="{00000000-0009-0000-0100-00001C000000}"/>
  <tableColumns count="2">
    <tableColumn id="1" xr3:uid="{C6D75FB2-B1E3-4885-853C-2D1034C221D1}" name="Hires 2026 YTD" dataDxfId="243"/>
    <tableColumn id="2" xr3:uid="{59A20AD4-62BB-4D1E-8CD8-0E5E74225D9B}" name="Total" dataDxfId="24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9054100-A742-4229-B325-4722D654D97E}" name="Table134567891011121314151617181920212223242526272829303132333435363738394041424344454647483456789101113141516171819202122232426272829313032333435363738403941424344454746495051525334576891011121314151617181920212223242526272829303132333435363738394041412" displayName="Table134567891011121314151617181920212223242526272829303132333435363738394041424344454647483456789101113141516171819202122232426272829313032333435363738403941424344454746495051525334576891011121314151617181920212223242526272829303132333435363738394041412" ref="K5:L18" totalsRowShown="0" headerRowDxfId="223" tableBorderDxfId="222">
  <autoFilter ref="K5:L18" xr:uid="{00000000-0009-0000-0100-00001C000000}"/>
  <tableColumns count="2">
    <tableColumn id="1" xr3:uid="{0D179534-F150-4831-83AB-89D6BF49B901}" name="Hires 2026 YTD" dataDxfId="221"/>
    <tableColumn id="2" xr3:uid="{5AAE64BB-D481-4567-A969-3A3BD05AC825}" name="Total" dataDxfId="22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77425FB-558F-470E-BC37-4544C8A7AB81}" name="Table134567891011121314151617181920212223242526272829303132333435363738394041424344454647483456789101113141516171819202122232426272829313032333435363738403941424344454746495051525334576891011121314151617181920212223242526272829303132333435363738394041411" displayName="Table134567891011121314151617181920212223242526272829303132333435363738394041424344454647483456789101113141516171819202122232426272829313032333435363738403941424344454746495051525334576891011121314151617181920212223242526272829303132333435363738394041411" ref="K5:L18" totalsRowShown="0" headerRowDxfId="201" tableBorderDxfId="200">
  <autoFilter ref="K5:L18" xr:uid="{00000000-0009-0000-0100-00001C000000}"/>
  <tableColumns count="2">
    <tableColumn id="1" xr3:uid="{8E29F442-B967-4933-AADB-6854205E5F9A}" name="Hires 2026 YTD" dataDxfId="199"/>
    <tableColumn id="2" xr3:uid="{BC301B44-D187-4B09-91EC-5762287CB591}" name="Total" dataDxfId="19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41D560-22FF-405F-A4B7-AC357D208CDB}" name="Table134567891011121314151617181920212223242526272829303132333435363738394041424344454647483456789101113141516171819202122232426272829313032333435363738403941424344454746495051525334576891011121314151617181920212223242526272829303132333435363738394041410" displayName="Table134567891011121314151617181920212223242526272829303132333435363738394041424344454647483456789101113141516171819202122232426272829313032333435363738403941424344454746495051525334576891011121314151617181920212223242526272829303132333435363738394041410" ref="K5:L18" totalsRowShown="0" headerRowDxfId="179" tableBorderDxfId="178">
  <autoFilter ref="K5:L18" xr:uid="{00000000-0009-0000-0100-00001C000000}"/>
  <tableColumns count="2">
    <tableColumn id="1" xr3:uid="{FB6E1E4B-77AA-4AD1-BBF1-FF5C8866C8E6}" name="Hires 2026 YTD" dataDxfId="177"/>
    <tableColumn id="2" xr3:uid="{853B68DE-C301-4129-A059-DEFE760E6985}" name="Total" dataDxfId="17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010ABD-20EE-40B9-8ACD-D1B9289F02F0}" name="Table134567891011121314151617181920212223242526272829303132333435363738394041424344454647483456789101113141516171819202122232426272829313032333435363738403941424344454746495051525334576891011121314151617181920212223242526272829303132333435363738394041469" displayName="Table134567891011121314151617181920212223242526272829303132333435363738394041424344454647483456789101113141516171819202122232426272829313032333435363738403941424344454746495051525334576891011121314151617181920212223242526272829303132333435363738394041469" ref="K5:L18" totalsRowShown="0" headerRowDxfId="157" tableBorderDxfId="156">
  <autoFilter ref="K5:L18" xr:uid="{00000000-0009-0000-0100-00001C000000}"/>
  <tableColumns count="2">
    <tableColumn id="1" xr3:uid="{FE9A3902-946A-438F-B881-A526644A533F}" name="Hires 2026 YTD" dataDxfId="155"/>
    <tableColumn id="2" xr3:uid="{D9CD66F8-C2C6-42C3-B65A-8F05DBCE20E9}" name="Total" dataDxfId="15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387EB2-FFA1-47EE-8721-0DB3D5958FA7}" name="Table134567891011121314151617181920212223242526272829303132333435363738394041424344454647483456789101113141516171819202122232426272829313032333435363738403941424344454746495051525334576891011121314151617181920212223242526272829303132333435363738394041468" displayName="Table134567891011121314151617181920212223242526272829303132333435363738394041424344454647483456789101113141516171819202122232426272829313032333435363738403941424344454746495051525334576891011121314151617181920212223242526272829303132333435363738394041468" ref="K5:L18" totalsRowShown="0" headerRowDxfId="135" tableBorderDxfId="134">
  <autoFilter ref="K5:L18" xr:uid="{00000000-0009-0000-0100-00001C000000}"/>
  <tableColumns count="2">
    <tableColumn id="1" xr3:uid="{F4949000-C09D-44A2-AFC7-39891B52AACF}" name="Hires 2026 YTD" dataDxfId="133"/>
    <tableColumn id="2" xr3:uid="{12E73E04-69CC-438F-A9A7-2F815CD9FADB}" name="Total" dataDxfId="13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D6C823-3591-4DC7-A513-701CA5E58A5E}" name="Table134567891011121314151617181920212223242526272829303132333435363738394041424344454647483456789101113141516171819202122232426272829313032333435363738403941424344454746495051525334576891011121314151617181920212223242526272829303132333435363738394041467" displayName="Table134567891011121314151617181920212223242526272829303132333435363738394041424344454647483456789101113141516171819202122232426272829313032333435363738403941424344454746495051525334576891011121314151617181920212223242526272829303132333435363738394041467" ref="K5:L18" totalsRowShown="0" headerRowDxfId="113" tableBorderDxfId="112">
  <autoFilter ref="K5:L18" xr:uid="{00000000-0009-0000-0100-00001C000000}"/>
  <tableColumns count="2">
    <tableColumn id="1" xr3:uid="{DFFF9F49-2066-4AAB-A152-BBB7B38BE641}" name="Hires 2026 YTD" dataDxfId="111"/>
    <tableColumn id="2" xr3:uid="{6D2F50ED-2FE2-4915-AA1F-E6B042B4FF14}" name="Total" dataDxfId="110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B6F700-208C-4D1E-AD22-171332FD03DB}" name="Table134567891011121314151617181920212223242526272829303132333435363738394041424344454647483456789101113141516171819202122232426272829313032333435363738403941424344454746495051525334576891011121314151617181920212223242526272829303132333435363738394041466" displayName="Table134567891011121314151617181920212223242526272829303132333435363738394041424344454647483456789101113141516171819202122232426272829313032333435363738403941424344454746495051525334576891011121314151617181920212223242526272829303132333435363738394041466" ref="K5:L18" totalsRowShown="0" headerRowDxfId="91" tableBorderDxfId="90">
  <autoFilter ref="K5:L18" xr:uid="{00000000-0009-0000-0100-00001C000000}"/>
  <tableColumns count="2">
    <tableColumn id="1" xr3:uid="{08259D49-9C97-4C70-B044-4F446DDEE936}" name="Hires 2026 YTD" dataDxfId="89"/>
    <tableColumn id="2" xr3:uid="{ADCDA369-F3F6-4132-8275-654D2CAFC718}" name="Total" dataDxfId="88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B3A55B-15C8-495D-9D12-69BE49790589}" name="Table134567891011121314151617181920212223242526272829303132333435363738394041424344454647483456789101113141516171819202122232426272829313032333435363738403941424344454746495051525334576891011121314151617181920212223242526272829303132333435363738394041465" displayName="Table134567891011121314151617181920212223242526272829303132333435363738394041424344454647483456789101113141516171819202122232426272829313032333435363738403941424344454746495051525334576891011121314151617181920212223242526272829303132333435363738394041465" ref="K5:L18" totalsRowShown="0" headerRowDxfId="69" tableBorderDxfId="68">
  <autoFilter ref="K5:L18" xr:uid="{00000000-0009-0000-0100-00001C000000}"/>
  <tableColumns count="2">
    <tableColumn id="1" xr3:uid="{97BFA464-FB1A-4FC3-9A05-36A13424DC78}" name="Hires 2026 YTD" dataDxfId="67"/>
    <tableColumn id="2" xr3:uid="{D8CA1E88-70A5-4938-A71B-3939EC3CEA10}" name="Total" dataDxfId="66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54DA3B-4B12-4A95-BAF1-E1FEF8DA801C}" name="Table134567891011121314151617181920212223242526272829303132333435363738394041424344454647483456789101113141516171819202122232426272829313032333435363738403941424344454746495051525334576891011121314151617181920212223242526272829303132333435363738394041464" displayName="Table134567891011121314151617181920212223242526272829303132333435363738394041424344454647483456789101113141516171819202122232426272829313032333435363738403941424344454746495051525334576891011121314151617181920212223242526272829303132333435363738394041464" ref="K5:L18" totalsRowShown="0" headerRowDxfId="47" tableBorderDxfId="46">
  <autoFilter ref="K5:L18" xr:uid="{00000000-0009-0000-0100-00001C000000}"/>
  <tableColumns count="2">
    <tableColumn id="1" xr3:uid="{C03361B0-9E68-4CBE-A7F4-2BDEAD65BCDD}" name="Hires 2026 YTD" dataDxfId="45"/>
    <tableColumn id="2" xr3:uid="{32564879-C3B1-4D0F-9DEB-957FF67E029D}" name="Total" dataDxfId="44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992E86-D4DB-4CD5-B004-312A1396A101}" name="Table134567891011121314151617181920212223242526272829303132333435363738394041424344454647483456789101113141516171819202122232426272829313032333435363738403941424344454746495051525334576891011121314151617181920212223242526272829303132333435363738394041463" displayName="Table134567891011121314151617181920212223242526272829303132333435363738394041424344454647483456789101113141516171819202122232426272829313032333435363738403941424344454746495051525334576891011121314151617181920212223242526272829303132333435363738394041463" ref="K5:L18" totalsRowShown="0" headerRowDxfId="25" tableBorderDxfId="24">
  <autoFilter ref="K5:L18" xr:uid="{00000000-0009-0000-0100-00001C000000}"/>
  <tableColumns count="2">
    <tableColumn id="1" xr3:uid="{1BDB5161-2D59-43D3-94AD-10935B4553F3}" name="Hires 2026 YTD" dataDxfId="23"/>
    <tableColumn id="2" xr3:uid="{CAACAA8B-7016-4B99-A228-A3C6F645BFBC}" name="Total" dataDxfId="2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B17DE-EEAD-4327-8132-4ACC6572D85E}" name="Table134567891011121314151617181920212223242526272829303132333435363738394041424344454647483456789101113141516171819202122232426272829313032333435363738403941424344454746495051525334576891011121314151617181920212223242526272829303132333435363738394041461" displayName="Table134567891011121314151617181920212223242526272829303132333435363738394041424344454647483456789101113141516171819202122232426272829313032333435363738403941424344454746495051525334576891011121314151617181920212223242526272829303132333435363738394041461" ref="K5:L18" totalsRowShown="0" headerRowDxfId="3" tableBorderDxfId="2">
  <autoFilter ref="K5:L18" xr:uid="{00000000-0009-0000-0100-00001C000000}"/>
  <tableColumns count="2">
    <tableColumn id="1" xr3:uid="{58A2CEE4-97E4-436C-A99B-8A7012B306D2}" name="Hires 2026 YTD" dataDxfId="1"/>
    <tableColumn id="2" xr3:uid="{517A35F9-8906-4F6B-BCB6-2FB53E06A0F4}" name="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05CA-4A89-40C6-9060-09BE435D511F}">
  <dimension ref="B1:AN352"/>
  <sheetViews>
    <sheetView tabSelected="1" zoomScaleNormal="100" workbookViewId="0">
      <selection activeCell="D6" sqref="D6"/>
    </sheetView>
  </sheetViews>
  <sheetFormatPr defaultColWidth="9.33203125" defaultRowHeight="14.4" x14ac:dyDescent="0.3"/>
  <cols>
    <col min="1" max="1" width="1.6640625" customWidth="1"/>
    <col min="2" max="2" width="35.6640625" bestFit="1" customWidth="1"/>
    <col min="3" max="3" width="15.44140625" customWidth="1"/>
    <col min="4" max="5" width="11.33203125" customWidth="1"/>
    <col min="6" max="6" width="32.44140625" bestFit="1" customWidth="1"/>
    <col min="7" max="7" width="10.33203125" customWidth="1"/>
    <col min="8" max="8" width="1.6640625" customWidth="1"/>
    <col min="9" max="10" width="2" customWidth="1"/>
    <col min="11" max="11" width="22.6640625" bestFit="1" customWidth="1"/>
    <col min="12" max="12" width="14.44140625" bestFit="1" customWidth="1"/>
    <col min="13" max="13" width="15.33203125" customWidth="1"/>
    <col min="14" max="14" width="22.6640625" bestFit="1" customWidth="1"/>
    <col min="15" max="15" width="14.44140625" bestFit="1" customWidth="1"/>
    <col min="16" max="16" width="11.44140625" style="1" bestFit="1" customWidth="1"/>
    <col min="17" max="17" width="18.44140625" style="1" bestFit="1" customWidth="1"/>
    <col min="18" max="18" width="18.44140625" hidden="1" customWidth="1"/>
    <col min="19" max="19" width="5.6640625" hidden="1" customWidth="1"/>
    <col min="20" max="39" width="12.33203125" bestFit="1" customWidth="1"/>
    <col min="40" max="40" width="13" bestFit="1" customWidth="1"/>
  </cols>
  <sheetData>
    <row r="1" spans="2:19" ht="28.8" x14ac:dyDescent="0.3"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15" thickBot="1" x14ac:dyDescent="0.35"/>
    <row r="3" spans="2:19" ht="18.600000000000001" thickBot="1" x14ac:dyDescent="0.4">
      <c r="B3" s="45" t="s">
        <v>83</v>
      </c>
      <c r="C3" s="45"/>
      <c r="D3" s="45"/>
      <c r="E3" s="45"/>
      <c r="F3" s="45"/>
      <c r="G3" s="45"/>
      <c r="K3" s="46" t="s">
        <v>65</v>
      </c>
      <c r="L3" s="47"/>
      <c r="M3" s="47"/>
      <c r="N3" s="47"/>
      <c r="O3" s="47"/>
      <c r="Q3"/>
    </row>
    <row r="4" spans="2:19" ht="15" thickBot="1" x14ac:dyDescent="0.35">
      <c r="C4" s="2"/>
      <c r="D4" s="2"/>
      <c r="E4" s="2"/>
      <c r="P4"/>
      <c r="Q4"/>
    </row>
    <row r="5" spans="2:19" ht="16.5" customHeight="1" thickBot="1" x14ac:dyDescent="0.35">
      <c r="B5" s="3" t="s">
        <v>1</v>
      </c>
      <c r="C5" s="4">
        <f>27+21+23</f>
        <v>71</v>
      </c>
      <c r="D5" s="5"/>
      <c r="E5" s="5" t="s">
        <v>2</v>
      </c>
      <c r="F5" s="6" t="s">
        <v>3</v>
      </c>
      <c r="G5" s="7" t="s">
        <v>4</v>
      </c>
      <c r="K5" s="6" t="s">
        <v>63</v>
      </c>
      <c r="L5" s="8" t="s">
        <v>5</v>
      </c>
      <c r="N5" s="6" t="s">
        <v>64</v>
      </c>
      <c r="O5" s="6"/>
      <c r="Q5"/>
      <c r="R5" s="9" t="s">
        <v>6</v>
      </c>
      <c r="S5" s="9" t="s">
        <v>7</v>
      </c>
    </row>
    <row r="6" spans="2:19" x14ac:dyDescent="0.3">
      <c r="B6" s="10" t="s">
        <v>8</v>
      </c>
      <c r="C6" s="11">
        <f>4+2+4</f>
        <v>10</v>
      </c>
      <c r="D6" s="5"/>
      <c r="E6" s="12"/>
      <c r="F6" s="13" t="s">
        <v>9</v>
      </c>
      <c r="G6" s="14">
        <v>4</v>
      </c>
      <c r="K6" s="15" t="s">
        <v>10</v>
      </c>
      <c r="L6" s="16">
        <f>3+2+4+13+2</f>
        <v>24</v>
      </c>
      <c r="N6" s="17" t="s">
        <v>9</v>
      </c>
      <c r="O6" s="14">
        <f>2+1</f>
        <v>3</v>
      </c>
      <c r="P6" s="18"/>
      <c r="Q6"/>
      <c r="R6" s="17" t="s">
        <v>11</v>
      </c>
      <c r="S6" s="19">
        <v>3</v>
      </c>
    </row>
    <row r="7" spans="2:19" ht="15" customHeight="1" x14ac:dyDescent="0.3">
      <c r="B7" s="10" t="s">
        <v>12</v>
      </c>
      <c r="C7" s="11">
        <f>14+22+19</f>
        <v>55</v>
      </c>
      <c r="D7" s="5"/>
      <c r="E7" s="12"/>
      <c r="F7" s="20" t="s">
        <v>11</v>
      </c>
      <c r="G7" s="14">
        <v>2</v>
      </c>
      <c r="K7" s="15" t="s">
        <v>13</v>
      </c>
      <c r="L7" s="16">
        <f>6+7+7+5</f>
        <v>25</v>
      </c>
      <c r="N7" s="21" t="s">
        <v>11</v>
      </c>
      <c r="O7" s="14">
        <f>2+2+2</f>
        <v>6</v>
      </c>
      <c r="P7" s="18"/>
      <c r="Q7"/>
      <c r="R7" s="21" t="s">
        <v>14</v>
      </c>
      <c r="S7" s="22">
        <v>6</v>
      </c>
    </row>
    <row r="8" spans="2:19" x14ac:dyDescent="0.3">
      <c r="B8" s="10" t="s">
        <v>15</v>
      </c>
      <c r="C8" s="23">
        <f>1+3+4</f>
        <v>8</v>
      </c>
      <c r="D8" s="12"/>
      <c r="E8" s="12"/>
      <c r="F8" s="21" t="s">
        <v>16</v>
      </c>
      <c r="G8" s="14">
        <v>3</v>
      </c>
      <c r="K8" s="15" t="s">
        <v>17</v>
      </c>
      <c r="L8" s="24">
        <f>7+10+3</f>
        <v>20</v>
      </c>
      <c r="N8" s="21" t="s">
        <v>16</v>
      </c>
      <c r="O8" s="14">
        <f>4+1+1</f>
        <v>6</v>
      </c>
      <c r="P8" s="18"/>
      <c r="Q8"/>
      <c r="R8" s="21" t="s">
        <v>18</v>
      </c>
      <c r="S8" s="22">
        <v>6</v>
      </c>
    </row>
    <row r="9" spans="2:19" x14ac:dyDescent="0.3">
      <c r="B9" s="10" t="s">
        <v>19</v>
      </c>
      <c r="C9" s="23">
        <f>0+2</f>
        <v>2</v>
      </c>
      <c r="D9" s="12"/>
      <c r="E9" s="12"/>
      <c r="F9" s="21" t="s">
        <v>14</v>
      </c>
      <c r="G9" s="14">
        <v>2</v>
      </c>
      <c r="K9" s="15" t="s">
        <v>20</v>
      </c>
      <c r="L9" s="24"/>
      <c r="M9" s="18"/>
      <c r="N9" s="21" t="s">
        <v>14</v>
      </c>
      <c r="O9" s="14">
        <f>1</f>
        <v>1</v>
      </c>
      <c r="P9" s="18"/>
      <c r="Q9"/>
      <c r="R9" s="21" t="s">
        <v>21</v>
      </c>
      <c r="S9" s="22">
        <v>1</v>
      </c>
    </row>
    <row r="10" spans="2:19" x14ac:dyDescent="0.3">
      <c r="B10" s="10" t="s">
        <v>22</v>
      </c>
      <c r="C10" s="23">
        <f>7+10+3</f>
        <v>20</v>
      </c>
      <c r="D10" s="12"/>
      <c r="E10" s="12"/>
      <c r="F10" s="21" t="s">
        <v>27</v>
      </c>
      <c r="G10" s="14">
        <v>1</v>
      </c>
      <c r="K10" s="15" t="s">
        <v>24</v>
      </c>
      <c r="L10" s="24"/>
      <c r="N10" s="21" t="s">
        <v>27</v>
      </c>
      <c r="O10" s="14">
        <f>2+1</f>
        <v>3</v>
      </c>
      <c r="P10" s="18"/>
      <c r="R10" s="21" t="s">
        <v>25</v>
      </c>
      <c r="S10" s="22">
        <v>6</v>
      </c>
    </row>
    <row r="11" spans="2:19" ht="15" thickBot="1" x14ac:dyDescent="0.35">
      <c r="B11" s="25" t="s">
        <v>26</v>
      </c>
      <c r="C11" s="26">
        <f>3+3+1</f>
        <v>7</v>
      </c>
      <c r="D11" s="12"/>
      <c r="E11" s="12"/>
      <c r="F11" s="21" t="s">
        <v>30</v>
      </c>
      <c r="G11" s="14">
        <v>3</v>
      </c>
      <c r="K11" s="15" t="s">
        <v>28</v>
      </c>
      <c r="L11" s="24"/>
      <c r="N11" s="21" t="s">
        <v>30</v>
      </c>
      <c r="O11" s="14">
        <f>1+1+1</f>
        <v>3</v>
      </c>
      <c r="P11" s="18"/>
      <c r="R11" s="21" t="s">
        <v>29</v>
      </c>
      <c r="S11" s="22">
        <v>7</v>
      </c>
    </row>
    <row r="12" spans="2:19" ht="15" thickBot="1" x14ac:dyDescent="0.35">
      <c r="B12" s="48"/>
      <c r="C12" s="49"/>
      <c r="D12" s="12"/>
      <c r="F12" s="21" t="s">
        <v>59</v>
      </c>
      <c r="G12" s="14">
        <v>4</v>
      </c>
      <c r="K12" s="15" t="s">
        <v>31</v>
      </c>
      <c r="L12" s="24"/>
      <c r="N12" s="21" t="s">
        <v>59</v>
      </c>
      <c r="O12" s="14">
        <f>1</f>
        <v>1</v>
      </c>
      <c r="P12" s="18"/>
      <c r="R12" s="21" t="s">
        <v>32</v>
      </c>
      <c r="S12" s="22">
        <v>3</v>
      </c>
    </row>
    <row r="13" spans="2:19" ht="15" thickBot="1" x14ac:dyDescent="0.35">
      <c r="B13" s="27" t="s">
        <v>3</v>
      </c>
      <c r="C13" s="8" t="s">
        <v>7</v>
      </c>
      <c r="D13" s="12"/>
      <c r="F13" s="21" t="s">
        <v>58</v>
      </c>
      <c r="G13" s="14">
        <v>0</v>
      </c>
      <c r="K13" s="15" t="s">
        <v>34</v>
      </c>
      <c r="L13" s="24"/>
      <c r="N13" s="21" t="s">
        <v>58</v>
      </c>
      <c r="O13" s="14">
        <v>0</v>
      </c>
      <c r="P13" s="18"/>
      <c r="R13" s="21" t="s">
        <v>35</v>
      </c>
      <c r="S13" s="22">
        <v>1</v>
      </c>
    </row>
    <row r="14" spans="2:19" ht="15" thickBot="1" x14ac:dyDescent="0.35">
      <c r="B14" s="13" t="s">
        <v>9</v>
      </c>
      <c r="C14" s="28">
        <v>0</v>
      </c>
      <c r="F14" s="21" t="s">
        <v>33</v>
      </c>
      <c r="G14" s="14">
        <v>2</v>
      </c>
      <c r="K14" s="15" t="s">
        <v>37</v>
      </c>
      <c r="L14" s="24"/>
      <c r="N14" s="21" t="s">
        <v>38</v>
      </c>
      <c r="O14" s="14">
        <f>1+1+4+1</f>
        <v>7</v>
      </c>
      <c r="P14" s="18"/>
      <c r="R14" s="30" t="s">
        <v>39</v>
      </c>
      <c r="S14" s="22">
        <v>1</v>
      </c>
    </row>
    <row r="15" spans="2:19" ht="15" thickBot="1" x14ac:dyDescent="0.35">
      <c r="B15" s="20" t="s">
        <v>11</v>
      </c>
      <c r="C15" s="14">
        <v>0</v>
      </c>
      <c r="F15" s="21" t="s">
        <v>36</v>
      </c>
      <c r="G15" s="29">
        <v>2</v>
      </c>
      <c r="K15" s="15" t="s">
        <v>41</v>
      </c>
      <c r="L15" s="24"/>
      <c r="N15" s="21" t="s">
        <v>42</v>
      </c>
      <c r="O15" s="14">
        <f>2+1+1+1+2</f>
        <v>7</v>
      </c>
      <c r="P15" s="18"/>
      <c r="R15" s="32" t="s">
        <v>43</v>
      </c>
      <c r="S15" s="9">
        <v>34</v>
      </c>
    </row>
    <row r="16" spans="2:19" ht="15" customHeight="1" thickBot="1" x14ac:dyDescent="0.35">
      <c r="B16" s="20" t="s">
        <v>16</v>
      </c>
      <c r="C16" s="14">
        <v>0</v>
      </c>
      <c r="F16" s="31" t="s">
        <v>40</v>
      </c>
      <c r="G16" s="7">
        <f>SUM(G6:G15)</f>
        <v>23</v>
      </c>
      <c r="K16" s="15" t="s">
        <v>44</v>
      </c>
      <c r="L16" s="24"/>
      <c r="N16" s="33" t="s">
        <v>45</v>
      </c>
      <c r="O16" s="14">
        <f>1</f>
        <v>1</v>
      </c>
    </row>
    <row r="17" spans="2:38" ht="15" customHeight="1" thickBot="1" x14ac:dyDescent="0.35">
      <c r="B17" s="20" t="s">
        <v>14</v>
      </c>
      <c r="C17" s="14">
        <v>0</v>
      </c>
      <c r="K17" s="15" t="s">
        <v>46</v>
      </c>
      <c r="L17" s="24"/>
      <c r="N17" s="21" t="s">
        <v>21</v>
      </c>
      <c r="O17" s="14">
        <v>0</v>
      </c>
    </row>
    <row r="18" spans="2:38" ht="15" thickBot="1" x14ac:dyDescent="0.35">
      <c r="B18" s="20" t="s">
        <v>23</v>
      </c>
      <c r="C18" s="14">
        <v>0</v>
      </c>
      <c r="F18" s="1"/>
      <c r="K18" s="7" t="s">
        <v>63</v>
      </c>
      <c r="L18" s="34">
        <f>SUM(L6:L17)</f>
        <v>69</v>
      </c>
      <c r="N18" s="21" t="s">
        <v>47</v>
      </c>
      <c r="O18" s="14">
        <f>3+1+3+7+4+4+7+2</f>
        <v>31</v>
      </c>
    </row>
    <row r="19" spans="2:38" ht="15" thickBot="1" x14ac:dyDescent="0.35">
      <c r="B19" s="21" t="s">
        <v>27</v>
      </c>
      <c r="C19" s="14">
        <v>0</v>
      </c>
      <c r="N19" s="7" t="s">
        <v>48</v>
      </c>
      <c r="O19" s="7">
        <f>SUM(O6:O18)</f>
        <v>69</v>
      </c>
    </row>
    <row r="20" spans="2:38" ht="15" customHeight="1" thickBot="1" x14ac:dyDescent="0.35">
      <c r="B20" s="21" t="s">
        <v>30</v>
      </c>
      <c r="C20" s="14">
        <v>1</v>
      </c>
      <c r="N20" s="35"/>
      <c r="O20" s="35"/>
    </row>
    <row r="21" spans="2:38" ht="15" customHeight="1" x14ac:dyDescent="0.3">
      <c r="B21" s="20" t="s">
        <v>59</v>
      </c>
      <c r="C21" s="14">
        <v>0</v>
      </c>
      <c r="K21" s="50" t="s">
        <v>49</v>
      </c>
      <c r="L21" s="52">
        <f>L18/3</f>
        <v>23</v>
      </c>
      <c r="N21" s="35"/>
      <c r="O21" s="35"/>
    </row>
    <row r="22" spans="2:38" s="1" customFormat="1" ht="15" customHeight="1" thickBot="1" x14ac:dyDescent="0.35">
      <c r="B22" s="20" t="s">
        <v>58</v>
      </c>
      <c r="C22" s="14">
        <v>0</v>
      </c>
      <c r="D22"/>
      <c r="F22" s="36"/>
      <c r="G22"/>
      <c r="K22" s="51"/>
      <c r="L22" s="53"/>
      <c r="N22"/>
      <c r="O22"/>
      <c r="R22"/>
      <c r="S22"/>
    </row>
    <row r="23" spans="2:38" s="1" customFormat="1" ht="15" customHeight="1" thickBot="1" x14ac:dyDescent="0.35">
      <c r="B23" s="20" t="s">
        <v>25</v>
      </c>
      <c r="C23" s="14">
        <v>0</v>
      </c>
      <c r="D23"/>
      <c r="F23"/>
      <c r="G23"/>
      <c r="N23" s="40" t="s">
        <v>61</v>
      </c>
      <c r="O23" s="41"/>
      <c r="R23"/>
      <c r="S23"/>
    </row>
    <row r="24" spans="2:38" s="1" customFormat="1" ht="15" customHeight="1" x14ac:dyDescent="0.3">
      <c r="B24" s="20" t="s">
        <v>42</v>
      </c>
      <c r="C24" s="14">
        <v>0</v>
      </c>
      <c r="F24"/>
      <c r="G24"/>
      <c r="N24" s="17" t="s">
        <v>9</v>
      </c>
      <c r="O24" s="14">
        <f>3+2+1+1+2+2+1+1+2+2+4</f>
        <v>21</v>
      </c>
      <c r="R24"/>
      <c r="S24"/>
    </row>
    <row r="25" spans="2:38" s="1" customFormat="1" ht="15" customHeight="1" x14ac:dyDescent="0.3">
      <c r="B25" s="20" t="s">
        <v>50</v>
      </c>
      <c r="C25" s="14">
        <v>0</v>
      </c>
      <c r="F25"/>
      <c r="G25"/>
      <c r="N25" s="21" t="s">
        <v>11</v>
      </c>
      <c r="O25" s="14">
        <f>2+4+5+1+0+1+6+2+1+1+2</f>
        <v>25</v>
      </c>
      <c r="R25"/>
      <c r="S25"/>
    </row>
    <row r="26" spans="2:38" s="1" customFormat="1" ht="15" customHeight="1" x14ac:dyDescent="0.3">
      <c r="B26" s="20" t="s">
        <v>21</v>
      </c>
      <c r="C26" s="14">
        <v>0</v>
      </c>
      <c r="G26"/>
      <c r="N26" s="21" t="s">
        <v>16</v>
      </c>
      <c r="O26" s="14">
        <f>4+9+0+8+2+5+3+4+1+7+3</f>
        <v>46</v>
      </c>
      <c r="P26" s="39"/>
    </row>
    <row r="27" spans="2:38" s="1" customFormat="1" x14ac:dyDescent="0.3">
      <c r="B27" s="21" t="s">
        <v>82</v>
      </c>
      <c r="C27" s="14">
        <v>1</v>
      </c>
      <c r="G27"/>
      <c r="N27" s="21" t="s">
        <v>14</v>
      </c>
      <c r="O27" s="14">
        <f>1+0+0+0+0+0+0+0+1+2+2</f>
        <v>6</v>
      </c>
      <c r="Q27"/>
    </row>
    <row r="28" spans="2:38" s="1" customFormat="1" x14ac:dyDescent="0.3">
      <c r="B28" s="21" t="s">
        <v>77</v>
      </c>
      <c r="C28" s="14">
        <v>1</v>
      </c>
      <c r="E28" s="37"/>
      <c r="F28"/>
      <c r="G28"/>
      <c r="N28" s="21" t="s">
        <v>27</v>
      </c>
      <c r="O28" s="14">
        <f>1+3+3+4+4+1+2+5+4+5+3+1</f>
        <v>36</v>
      </c>
      <c r="Q28"/>
    </row>
    <row r="29" spans="2:38" s="1" customFormat="1" x14ac:dyDescent="0.3">
      <c r="B29" s="21" t="s">
        <v>74</v>
      </c>
      <c r="C29" s="14">
        <v>0</v>
      </c>
      <c r="F29"/>
      <c r="G29"/>
      <c r="N29" s="21" t="s">
        <v>30</v>
      </c>
      <c r="O29" s="14">
        <f>4+3+2+4+2+0+0+1+3+6+3</f>
        <v>28</v>
      </c>
      <c r="Q29"/>
    </row>
    <row r="30" spans="2:38" s="1" customFormat="1" x14ac:dyDescent="0.3">
      <c r="B30" s="21" t="s">
        <v>53</v>
      </c>
      <c r="C30" s="14">
        <v>0</v>
      </c>
      <c r="F30"/>
      <c r="G30"/>
      <c r="N30" s="21" t="s">
        <v>59</v>
      </c>
      <c r="O30" s="14">
        <f>1+0+0+1+1+0+0+0+1+4</f>
        <v>8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2:38" s="1" customFormat="1" x14ac:dyDescent="0.3">
      <c r="B31" s="21" t="s">
        <v>54</v>
      </c>
      <c r="C31" s="14">
        <v>0</v>
      </c>
      <c r="N31" s="21" t="s">
        <v>58</v>
      </c>
      <c r="O31" s="14">
        <f>0+0+0+0+0+0</f>
        <v>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2:38" s="1" customFormat="1" ht="15" thickBot="1" x14ac:dyDescent="0.35">
      <c r="B32" s="30" t="s">
        <v>55</v>
      </c>
      <c r="C32" s="14">
        <v>0</v>
      </c>
      <c r="N32" s="21" t="s">
        <v>33</v>
      </c>
      <c r="O32" s="14">
        <f>0+1+2+0+3+2+0+2+2+2</f>
        <v>14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2:40" s="1" customFormat="1" ht="15" thickBot="1" x14ac:dyDescent="0.35">
      <c r="B33" s="38" t="s">
        <v>56</v>
      </c>
      <c r="C33" s="7">
        <f>SUM(C14:C32)</f>
        <v>3</v>
      </c>
      <c r="N33" s="21" t="s">
        <v>47</v>
      </c>
      <c r="O33" s="14">
        <f>0+6+4+4+1+0+1+1+2</f>
        <v>19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2:40" s="1" customFormat="1" ht="15" thickBot="1" x14ac:dyDescent="0.35">
      <c r="N34" s="7" t="s">
        <v>48</v>
      </c>
      <c r="O34" s="7">
        <f>SUM(O24:O33)</f>
        <v>203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2:40" s="1" customFormat="1" x14ac:dyDescent="0.3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2:40" s="1" customFormat="1" ht="15" thickBot="1" x14ac:dyDescent="0.3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s="1" customFormat="1" ht="15" thickBot="1" x14ac:dyDescent="0.35">
      <c r="K37"/>
      <c r="L37"/>
      <c r="N37" s="40" t="s">
        <v>62</v>
      </c>
      <c r="O37" s="4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2:40" s="1" customFormat="1" x14ac:dyDescent="0.3">
      <c r="K38"/>
      <c r="L38"/>
      <c r="N38" s="17" t="s">
        <v>9</v>
      </c>
      <c r="O38" s="14">
        <f>5+1+6+5+4+6+3+6+8+4+8</f>
        <v>56</v>
      </c>
      <c r="R38"/>
      <c r="S38"/>
    </row>
    <row r="39" spans="2:40" x14ac:dyDescent="0.3">
      <c r="B39" s="1"/>
      <c r="C39" s="1"/>
      <c r="D39" s="1"/>
      <c r="F39" s="1"/>
      <c r="G39" s="1"/>
      <c r="N39" s="21" t="s">
        <v>11</v>
      </c>
      <c r="O39" s="14">
        <f>1+6+6+2+0+6+4+2+4+4+4</f>
        <v>39</v>
      </c>
    </row>
    <row r="40" spans="2:40" s="1" customFormat="1" x14ac:dyDescent="0.3">
      <c r="K40"/>
      <c r="L40"/>
      <c r="N40" s="21" t="s">
        <v>16</v>
      </c>
      <c r="O40" s="14">
        <f>4+4+5+6+3+3+5+3+5+3+3</f>
        <v>44</v>
      </c>
      <c r="P40" s="39"/>
      <c r="R40"/>
      <c r="S40"/>
    </row>
    <row r="41" spans="2:40" x14ac:dyDescent="0.3">
      <c r="B41" s="1"/>
      <c r="C41" s="1"/>
      <c r="F41" s="1"/>
      <c r="G41" s="1"/>
      <c r="N41" s="21" t="s">
        <v>14</v>
      </c>
      <c r="O41" s="14">
        <f>1+3+0+1+0+1+0+2+1</f>
        <v>9</v>
      </c>
    </row>
    <row r="42" spans="2:40" s="1" customFormat="1" x14ac:dyDescent="0.3">
      <c r="F42"/>
      <c r="G42"/>
      <c r="K42"/>
      <c r="L42"/>
      <c r="N42" s="21" t="s">
        <v>27</v>
      </c>
      <c r="O42" s="14">
        <f>4+5+3+4+5+7+6+2+1+1</f>
        <v>38</v>
      </c>
      <c r="R42"/>
      <c r="S42"/>
    </row>
    <row r="43" spans="2:40" x14ac:dyDescent="0.3">
      <c r="B43" s="1"/>
      <c r="C43" s="1"/>
      <c r="N43" s="21" t="s">
        <v>30</v>
      </c>
      <c r="O43" s="14">
        <f>1+3+5+4+6+1+2+3+4+3+3+3</f>
        <v>38</v>
      </c>
      <c r="Q43"/>
    </row>
    <row r="44" spans="2:40" x14ac:dyDescent="0.3">
      <c r="C44" s="1"/>
      <c r="D44" s="1"/>
      <c r="N44" s="21" t="s">
        <v>59</v>
      </c>
      <c r="O44" s="14">
        <f>1+3+0+2+2+3+2+2+4+3+1</f>
        <v>23</v>
      </c>
      <c r="Q44"/>
    </row>
    <row r="45" spans="2:40" x14ac:dyDescent="0.3">
      <c r="N45" s="21" t="s">
        <v>58</v>
      </c>
      <c r="O45" s="14">
        <f>1+0+0+0+0+0+0+0+0+0</f>
        <v>1</v>
      </c>
      <c r="Q45"/>
    </row>
    <row r="46" spans="2:40" ht="15" customHeight="1" x14ac:dyDescent="0.3">
      <c r="N46" s="21" t="s">
        <v>33</v>
      </c>
      <c r="O46" s="14">
        <f>0+3+2+0+2+2+4+1+1+3</f>
        <v>18</v>
      </c>
      <c r="Q46"/>
    </row>
    <row r="47" spans="2:40" ht="15" thickBot="1" x14ac:dyDescent="0.35">
      <c r="K47" s="42"/>
      <c r="L47" s="42"/>
      <c r="N47" s="21" t="s">
        <v>47</v>
      </c>
      <c r="O47" s="14">
        <f>1+11+0+0+0+1+6+4+0+2</f>
        <v>25</v>
      </c>
      <c r="Q47"/>
    </row>
    <row r="48" spans="2:40" ht="15" thickBot="1" x14ac:dyDescent="0.35">
      <c r="N48" s="7" t="s">
        <v>48</v>
      </c>
      <c r="O48" s="7">
        <f>SUM(O38:O47)</f>
        <v>291</v>
      </c>
      <c r="P48"/>
      <c r="Q48"/>
    </row>
    <row r="49" spans="16:17" x14ac:dyDescent="0.3">
      <c r="P49"/>
      <c r="Q49"/>
    </row>
    <row r="50" spans="16:17" x14ac:dyDescent="0.3">
      <c r="P50"/>
      <c r="Q50"/>
    </row>
    <row r="51" spans="16:17" x14ac:dyDescent="0.3">
      <c r="P51"/>
      <c r="Q51"/>
    </row>
    <row r="52" spans="16:17" x14ac:dyDescent="0.3">
      <c r="P52"/>
      <c r="Q52"/>
    </row>
    <row r="53" spans="16:17" x14ac:dyDescent="0.3">
      <c r="P53"/>
      <c r="Q53"/>
    </row>
    <row r="54" spans="16:17" x14ac:dyDescent="0.3">
      <c r="P54"/>
      <c r="Q54"/>
    </row>
    <row r="55" spans="16:17" x14ac:dyDescent="0.3">
      <c r="P55"/>
      <c r="Q55"/>
    </row>
    <row r="56" spans="16:17" x14ac:dyDescent="0.3">
      <c r="P56"/>
      <c r="Q56"/>
    </row>
    <row r="57" spans="16:17" x14ac:dyDescent="0.3">
      <c r="P57"/>
      <c r="Q57"/>
    </row>
    <row r="58" spans="16:17" x14ac:dyDescent="0.3">
      <c r="P58"/>
      <c r="Q58"/>
    </row>
    <row r="59" spans="16:17" x14ac:dyDescent="0.3">
      <c r="P59"/>
      <c r="Q59"/>
    </row>
    <row r="60" spans="16:17" x14ac:dyDescent="0.3">
      <c r="P60"/>
      <c r="Q60"/>
    </row>
    <row r="61" spans="16:17" x14ac:dyDescent="0.3">
      <c r="P61"/>
      <c r="Q61"/>
    </row>
    <row r="62" spans="16:17" x14ac:dyDescent="0.3">
      <c r="P62"/>
      <c r="Q62"/>
    </row>
    <row r="63" spans="16:17" x14ac:dyDescent="0.3">
      <c r="P63"/>
      <c r="Q63"/>
    </row>
    <row r="64" spans="16:17" x14ac:dyDescent="0.3">
      <c r="P64"/>
      <c r="Q64"/>
    </row>
    <row r="65" spans="16:17" x14ac:dyDescent="0.3">
      <c r="P65"/>
      <c r="Q65"/>
    </row>
    <row r="66" spans="16:17" x14ac:dyDescent="0.3">
      <c r="P66"/>
      <c r="Q66"/>
    </row>
    <row r="67" spans="16:17" x14ac:dyDescent="0.3">
      <c r="P67"/>
      <c r="Q67"/>
    </row>
    <row r="68" spans="16:17" x14ac:dyDescent="0.3">
      <c r="P68"/>
      <c r="Q68"/>
    </row>
    <row r="69" spans="16:17" x14ac:dyDescent="0.3">
      <c r="P69"/>
      <c r="Q69"/>
    </row>
    <row r="70" spans="16:17" x14ac:dyDescent="0.3">
      <c r="P70"/>
      <c r="Q70"/>
    </row>
    <row r="71" spans="16:17" x14ac:dyDescent="0.3">
      <c r="P71"/>
      <c r="Q71"/>
    </row>
    <row r="72" spans="16:17" x14ac:dyDescent="0.3">
      <c r="P72"/>
      <c r="Q72"/>
    </row>
    <row r="73" spans="16:17" x14ac:dyDescent="0.3">
      <c r="P73"/>
      <c r="Q73"/>
    </row>
    <row r="74" spans="16:17" x14ac:dyDescent="0.3">
      <c r="P74"/>
      <c r="Q74"/>
    </row>
    <row r="75" spans="16:17" x14ac:dyDescent="0.3">
      <c r="P75"/>
      <c r="Q75"/>
    </row>
    <row r="76" spans="16:17" x14ac:dyDescent="0.3">
      <c r="P76"/>
      <c r="Q76"/>
    </row>
    <row r="77" spans="16:17" x14ac:dyDescent="0.3">
      <c r="P77"/>
      <c r="Q77"/>
    </row>
    <row r="78" spans="16:17" x14ac:dyDescent="0.3">
      <c r="P78"/>
      <c r="Q78"/>
    </row>
    <row r="79" spans="16:17" x14ac:dyDescent="0.3">
      <c r="P79"/>
      <c r="Q79"/>
    </row>
    <row r="80" spans="16:17" x14ac:dyDescent="0.3">
      <c r="P80"/>
      <c r="Q80"/>
    </row>
    <row r="81" spans="16:17" x14ac:dyDescent="0.3">
      <c r="P81"/>
      <c r="Q81"/>
    </row>
    <row r="82" spans="16:17" x14ac:dyDescent="0.3">
      <c r="P82"/>
      <c r="Q82"/>
    </row>
    <row r="83" spans="16:17" x14ac:dyDescent="0.3">
      <c r="P83"/>
      <c r="Q83"/>
    </row>
    <row r="84" spans="16:17" x14ac:dyDescent="0.3">
      <c r="P84"/>
      <c r="Q84"/>
    </row>
    <row r="85" spans="16:17" x14ac:dyDescent="0.3">
      <c r="P85"/>
      <c r="Q85"/>
    </row>
    <row r="86" spans="16:17" x14ac:dyDescent="0.3">
      <c r="P86"/>
      <c r="Q86"/>
    </row>
    <row r="87" spans="16:17" x14ac:dyDescent="0.3">
      <c r="P87"/>
      <c r="Q87"/>
    </row>
    <row r="88" spans="16:17" x14ac:dyDescent="0.3">
      <c r="P88"/>
      <c r="Q88"/>
    </row>
    <row r="89" spans="16:17" x14ac:dyDescent="0.3">
      <c r="P89"/>
      <c r="Q89"/>
    </row>
    <row r="90" spans="16:17" x14ac:dyDescent="0.3">
      <c r="P90"/>
      <c r="Q90"/>
    </row>
    <row r="91" spans="16:17" x14ac:dyDescent="0.3">
      <c r="P91"/>
      <c r="Q91"/>
    </row>
    <row r="92" spans="16:17" x14ac:dyDescent="0.3">
      <c r="P92"/>
      <c r="Q92"/>
    </row>
    <row r="93" spans="16:17" x14ac:dyDescent="0.3">
      <c r="P93"/>
      <c r="Q93"/>
    </row>
    <row r="94" spans="16:17" x14ac:dyDescent="0.3">
      <c r="P94"/>
      <c r="Q94"/>
    </row>
    <row r="95" spans="16:17" x14ac:dyDescent="0.3">
      <c r="P95"/>
      <c r="Q95"/>
    </row>
    <row r="96" spans="16:17" x14ac:dyDescent="0.3">
      <c r="P96"/>
      <c r="Q96"/>
    </row>
    <row r="97" spans="16:17" x14ac:dyDescent="0.3">
      <c r="P97"/>
      <c r="Q97"/>
    </row>
    <row r="98" spans="16:17" x14ac:dyDescent="0.3">
      <c r="P98"/>
      <c r="Q98"/>
    </row>
    <row r="99" spans="16:17" x14ac:dyDescent="0.3">
      <c r="P99"/>
      <c r="Q99"/>
    </row>
    <row r="100" spans="16:17" x14ac:dyDescent="0.3">
      <c r="P100"/>
      <c r="Q100"/>
    </row>
    <row r="101" spans="16:17" x14ac:dyDescent="0.3">
      <c r="P101"/>
      <c r="Q101"/>
    </row>
    <row r="102" spans="16:17" x14ac:dyDescent="0.3">
      <c r="P102"/>
      <c r="Q102"/>
    </row>
    <row r="103" spans="16:17" x14ac:dyDescent="0.3">
      <c r="P103"/>
      <c r="Q103"/>
    </row>
    <row r="104" spans="16:17" x14ac:dyDescent="0.3">
      <c r="P104"/>
      <c r="Q104"/>
    </row>
    <row r="105" spans="16:17" x14ac:dyDescent="0.3">
      <c r="P105"/>
      <c r="Q105"/>
    </row>
    <row r="106" spans="16:17" x14ac:dyDescent="0.3">
      <c r="P106"/>
      <c r="Q106"/>
    </row>
    <row r="107" spans="16:17" x14ac:dyDescent="0.3">
      <c r="P107"/>
      <c r="Q107"/>
    </row>
    <row r="108" spans="16:17" x14ac:dyDescent="0.3">
      <c r="P108"/>
      <c r="Q108"/>
    </row>
    <row r="109" spans="16:17" x14ac:dyDescent="0.3">
      <c r="P109"/>
      <c r="Q109"/>
    </row>
    <row r="110" spans="16:17" x14ac:dyDescent="0.3">
      <c r="P110"/>
      <c r="Q110"/>
    </row>
    <row r="111" spans="16:17" x14ac:dyDescent="0.3">
      <c r="P111"/>
      <c r="Q111"/>
    </row>
    <row r="112" spans="16:17" x14ac:dyDescent="0.3">
      <c r="P112"/>
      <c r="Q112"/>
    </row>
    <row r="113" spans="16:17" x14ac:dyDescent="0.3">
      <c r="P113"/>
      <c r="Q113"/>
    </row>
    <row r="114" spans="16:17" x14ac:dyDescent="0.3">
      <c r="P114"/>
      <c r="Q114"/>
    </row>
    <row r="115" spans="16:17" x14ac:dyDescent="0.3">
      <c r="P115"/>
      <c r="Q115"/>
    </row>
    <row r="116" spans="16:17" x14ac:dyDescent="0.3">
      <c r="P116"/>
      <c r="Q116"/>
    </row>
    <row r="117" spans="16:17" x14ac:dyDescent="0.3">
      <c r="P117"/>
      <c r="Q117"/>
    </row>
    <row r="118" spans="16:17" x14ac:dyDescent="0.3">
      <c r="P118"/>
      <c r="Q118"/>
    </row>
    <row r="119" spans="16:17" x14ac:dyDescent="0.3">
      <c r="P119"/>
      <c r="Q119"/>
    </row>
    <row r="120" spans="16:17" x14ac:dyDescent="0.3">
      <c r="P120"/>
      <c r="Q120"/>
    </row>
    <row r="121" spans="16:17" x14ac:dyDescent="0.3">
      <c r="P121"/>
      <c r="Q121"/>
    </row>
    <row r="122" spans="16:17" x14ac:dyDescent="0.3">
      <c r="P122"/>
      <c r="Q122"/>
    </row>
    <row r="123" spans="16:17" x14ac:dyDescent="0.3">
      <c r="P123"/>
      <c r="Q123"/>
    </row>
    <row r="124" spans="16:17" x14ac:dyDescent="0.3">
      <c r="P124"/>
      <c r="Q124"/>
    </row>
    <row r="125" spans="16:17" x14ac:dyDescent="0.3">
      <c r="P125"/>
      <c r="Q125"/>
    </row>
    <row r="126" spans="16:17" x14ac:dyDescent="0.3">
      <c r="P126"/>
      <c r="Q126"/>
    </row>
    <row r="127" spans="16:17" x14ac:dyDescent="0.3">
      <c r="P127"/>
      <c r="Q127"/>
    </row>
    <row r="128" spans="16:17" x14ac:dyDescent="0.3">
      <c r="P128"/>
      <c r="Q128"/>
    </row>
    <row r="129" spans="16:17" x14ac:dyDescent="0.3">
      <c r="P129"/>
      <c r="Q129"/>
    </row>
    <row r="130" spans="16:17" x14ac:dyDescent="0.3">
      <c r="P130"/>
      <c r="Q130"/>
    </row>
    <row r="131" spans="16:17" x14ac:dyDescent="0.3">
      <c r="P131"/>
      <c r="Q131"/>
    </row>
    <row r="132" spans="16:17" x14ac:dyDescent="0.3">
      <c r="P132"/>
      <c r="Q132"/>
    </row>
    <row r="133" spans="16:17" x14ac:dyDescent="0.3">
      <c r="P133"/>
      <c r="Q133"/>
    </row>
    <row r="134" spans="16:17" x14ac:dyDescent="0.3">
      <c r="P134"/>
      <c r="Q134"/>
    </row>
    <row r="135" spans="16:17" x14ac:dyDescent="0.3">
      <c r="P135"/>
      <c r="Q135"/>
    </row>
    <row r="136" spans="16:17" x14ac:dyDescent="0.3">
      <c r="P136"/>
      <c r="Q136"/>
    </row>
    <row r="137" spans="16:17" x14ac:dyDescent="0.3">
      <c r="P137"/>
      <c r="Q137"/>
    </row>
    <row r="138" spans="16:17" x14ac:dyDescent="0.3">
      <c r="P138"/>
      <c r="Q138"/>
    </row>
    <row r="139" spans="16:17" x14ac:dyDescent="0.3">
      <c r="P139"/>
      <c r="Q139"/>
    </row>
    <row r="140" spans="16:17" x14ac:dyDescent="0.3">
      <c r="P140"/>
      <c r="Q140"/>
    </row>
    <row r="141" spans="16:17" x14ac:dyDescent="0.3">
      <c r="P141"/>
      <c r="Q141"/>
    </row>
    <row r="142" spans="16:17" x14ac:dyDescent="0.3">
      <c r="P142"/>
      <c r="Q142"/>
    </row>
    <row r="143" spans="16:17" x14ac:dyDescent="0.3">
      <c r="P143"/>
      <c r="Q143"/>
    </row>
    <row r="144" spans="16:17" x14ac:dyDescent="0.3">
      <c r="P144"/>
      <c r="Q144"/>
    </row>
    <row r="145" spans="16:17" x14ac:dyDescent="0.3">
      <c r="P145"/>
      <c r="Q145"/>
    </row>
    <row r="146" spans="16:17" x14ac:dyDescent="0.3">
      <c r="P146"/>
      <c r="Q146"/>
    </row>
    <row r="147" spans="16:17" x14ac:dyDescent="0.3">
      <c r="P147"/>
      <c r="Q147"/>
    </row>
    <row r="148" spans="16:17" x14ac:dyDescent="0.3">
      <c r="P148"/>
      <c r="Q148"/>
    </row>
    <row r="149" spans="16:17" x14ac:dyDescent="0.3">
      <c r="P149"/>
      <c r="Q149"/>
    </row>
    <row r="150" spans="16:17" x14ac:dyDescent="0.3">
      <c r="P150"/>
      <c r="Q150"/>
    </row>
    <row r="151" spans="16:17" x14ac:dyDescent="0.3">
      <c r="P151"/>
      <c r="Q151"/>
    </row>
    <row r="152" spans="16:17" x14ac:dyDescent="0.3">
      <c r="P152"/>
      <c r="Q152"/>
    </row>
    <row r="153" spans="16:17" x14ac:dyDescent="0.3">
      <c r="P153"/>
      <c r="Q153"/>
    </row>
    <row r="154" spans="16:17" x14ac:dyDescent="0.3">
      <c r="P154"/>
      <c r="Q154"/>
    </row>
    <row r="155" spans="16:17" x14ac:dyDescent="0.3">
      <c r="P155"/>
      <c r="Q155"/>
    </row>
    <row r="156" spans="16:17" x14ac:dyDescent="0.3">
      <c r="P156"/>
      <c r="Q156"/>
    </row>
    <row r="157" spans="16:17" x14ac:dyDescent="0.3">
      <c r="P157"/>
      <c r="Q157"/>
    </row>
    <row r="158" spans="16:17" x14ac:dyDescent="0.3">
      <c r="P158"/>
      <c r="Q158"/>
    </row>
    <row r="159" spans="16:17" x14ac:dyDescent="0.3">
      <c r="P159"/>
      <c r="Q159"/>
    </row>
    <row r="160" spans="16:17" x14ac:dyDescent="0.3">
      <c r="P160"/>
      <c r="Q160"/>
    </row>
    <row r="161" spans="16:17" x14ac:dyDescent="0.3">
      <c r="P161"/>
      <c r="Q161"/>
    </row>
    <row r="162" spans="16:17" x14ac:dyDescent="0.3">
      <c r="P162"/>
      <c r="Q162"/>
    </row>
    <row r="163" spans="16:17" x14ac:dyDescent="0.3">
      <c r="P163"/>
      <c r="Q163"/>
    </row>
    <row r="164" spans="16:17" x14ac:dyDescent="0.3">
      <c r="P164"/>
      <c r="Q164"/>
    </row>
    <row r="165" spans="16:17" x14ac:dyDescent="0.3">
      <c r="P165"/>
      <c r="Q165"/>
    </row>
    <row r="166" spans="16:17" x14ac:dyDescent="0.3">
      <c r="P166"/>
      <c r="Q166"/>
    </row>
    <row r="167" spans="16:17" x14ac:dyDescent="0.3">
      <c r="P167"/>
      <c r="Q167"/>
    </row>
    <row r="168" spans="16:17" x14ac:dyDescent="0.3">
      <c r="P168"/>
      <c r="Q168"/>
    </row>
    <row r="169" spans="16:17" x14ac:dyDescent="0.3">
      <c r="P169"/>
      <c r="Q169"/>
    </row>
    <row r="170" spans="16:17" x14ac:dyDescent="0.3">
      <c r="P170"/>
      <c r="Q170"/>
    </row>
    <row r="171" spans="16:17" x14ac:dyDescent="0.3">
      <c r="P171"/>
      <c r="Q171"/>
    </row>
    <row r="172" spans="16:17" x14ac:dyDescent="0.3">
      <c r="P172"/>
      <c r="Q172"/>
    </row>
    <row r="173" spans="16:17" x14ac:dyDescent="0.3">
      <c r="P173"/>
      <c r="Q173"/>
    </row>
    <row r="174" spans="16:17" x14ac:dyDescent="0.3">
      <c r="P174"/>
      <c r="Q174"/>
    </row>
    <row r="175" spans="16:17" x14ac:dyDescent="0.3">
      <c r="P175"/>
      <c r="Q175"/>
    </row>
    <row r="176" spans="16:17" x14ac:dyDescent="0.3">
      <c r="P176"/>
      <c r="Q176"/>
    </row>
    <row r="177" spans="16:17" x14ac:dyDescent="0.3">
      <c r="P177"/>
      <c r="Q177"/>
    </row>
    <row r="178" spans="16:17" x14ac:dyDescent="0.3">
      <c r="P178"/>
      <c r="Q178"/>
    </row>
    <row r="179" spans="16:17" x14ac:dyDescent="0.3">
      <c r="P179"/>
      <c r="Q179"/>
    </row>
    <row r="180" spans="16:17" x14ac:dyDescent="0.3">
      <c r="P180"/>
      <c r="Q180"/>
    </row>
    <row r="181" spans="16:17" x14ac:dyDescent="0.3">
      <c r="P181"/>
      <c r="Q181"/>
    </row>
    <row r="182" spans="16:17" x14ac:dyDescent="0.3">
      <c r="P182"/>
      <c r="Q182"/>
    </row>
    <row r="183" spans="16:17" x14ac:dyDescent="0.3">
      <c r="P183"/>
      <c r="Q183"/>
    </row>
    <row r="184" spans="16:17" x14ac:dyDescent="0.3">
      <c r="P184"/>
      <c r="Q184"/>
    </row>
    <row r="185" spans="16:17" x14ac:dyDescent="0.3">
      <c r="P185"/>
      <c r="Q185"/>
    </row>
    <row r="186" spans="16:17" x14ac:dyDescent="0.3">
      <c r="P186"/>
      <c r="Q186"/>
    </row>
    <row r="187" spans="16:17" x14ac:dyDescent="0.3">
      <c r="P187"/>
      <c r="Q187"/>
    </row>
    <row r="188" spans="16:17" x14ac:dyDesce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r="191" spans="16:17" x14ac:dyDescent="0.3">
      <c r="P191"/>
      <c r="Q191"/>
    </row>
    <row r="192" spans="16:17" x14ac:dyDescent="0.3">
      <c r="P192"/>
      <c r="Q192"/>
    </row>
    <row r="193" spans="16:17" x14ac:dyDescent="0.3">
      <c r="P193"/>
      <c r="Q193"/>
    </row>
    <row r="194" spans="16:17" x14ac:dyDescent="0.3">
      <c r="P194"/>
      <c r="Q194"/>
    </row>
    <row r="195" spans="16:17" x14ac:dyDescent="0.3">
      <c r="P195"/>
      <c r="Q195"/>
    </row>
    <row r="196" spans="16:17" x14ac:dyDescent="0.3">
      <c r="P196"/>
      <c r="Q196"/>
    </row>
    <row r="197" spans="16:17" x14ac:dyDescent="0.3">
      <c r="P197"/>
      <c r="Q197"/>
    </row>
    <row r="198" spans="16:17" x14ac:dyDescent="0.3">
      <c r="P198"/>
      <c r="Q198"/>
    </row>
    <row r="199" spans="16:17" x14ac:dyDescent="0.3">
      <c r="P199"/>
      <c r="Q199"/>
    </row>
    <row r="200" spans="16:17" x14ac:dyDescent="0.3">
      <c r="P200"/>
      <c r="Q200"/>
    </row>
    <row r="201" spans="16:17" x14ac:dyDescent="0.3">
      <c r="P201"/>
      <c r="Q201"/>
    </row>
    <row r="202" spans="16:17" x14ac:dyDescent="0.3">
      <c r="P202"/>
      <c r="Q202"/>
    </row>
    <row r="203" spans="16:17" x14ac:dyDescent="0.3">
      <c r="P203"/>
      <c r="Q203"/>
    </row>
    <row r="204" spans="16:17" x14ac:dyDescent="0.3">
      <c r="P204"/>
      <c r="Q204"/>
    </row>
    <row r="205" spans="16:17" x14ac:dyDescent="0.3">
      <c r="P205"/>
      <c r="Q205"/>
    </row>
    <row r="206" spans="16:17" x14ac:dyDescent="0.3">
      <c r="P206"/>
      <c r="Q206"/>
    </row>
    <row r="207" spans="16:17" x14ac:dyDescent="0.3">
      <c r="P207"/>
      <c r="Q207"/>
    </row>
    <row r="208" spans="16:17" x14ac:dyDescent="0.3">
      <c r="P208"/>
      <c r="Q208"/>
    </row>
    <row r="209" spans="16:17" x14ac:dyDescent="0.3">
      <c r="P209"/>
      <c r="Q209"/>
    </row>
    <row r="210" spans="16:17" x14ac:dyDescent="0.3">
      <c r="P210"/>
      <c r="Q210"/>
    </row>
    <row r="211" spans="16:17" x14ac:dyDescent="0.3">
      <c r="P211"/>
      <c r="Q211"/>
    </row>
    <row r="212" spans="16:17" x14ac:dyDescent="0.3">
      <c r="P212"/>
      <c r="Q212"/>
    </row>
    <row r="213" spans="16:17" x14ac:dyDescent="0.3">
      <c r="P213"/>
      <c r="Q213"/>
    </row>
    <row r="214" spans="16:17" x14ac:dyDescent="0.3">
      <c r="P214"/>
      <c r="Q214"/>
    </row>
    <row r="215" spans="16:17" x14ac:dyDescent="0.3">
      <c r="P215"/>
      <c r="Q215"/>
    </row>
    <row r="216" spans="16:17" x14ac:dyDescent="0.3">
      <c r="P216"/>
      <c r="Q216"/>
    </row>
    <row r="217" spans="16:17" x14ac:dyDescent="0.3">
      <c r="P217"/>
      <c r="Q217"/>
    </row>
    <row r="218" spans="16:17" x14ac:dyDescent="0.3">
      <c r="P218"/>
      <c r="Q218"/>
    </row>
    <row r="219" spans="16:17" x14ac:dyDescent="0.3">
      <c r="P219"/>
      <c r="Q219"/>
    </row>
    <row r="220" spans="16:17" x14ac:dyDescent="0.3">
      <c r="P220"/>
      <c r="Q220"/>
    </row>
    <row r="221" spans="16:17" x14ac:dyDescent="0.3">
      <c r="P221"/>
      <c r="Q221"/>
    </row>
    <row r="222" spans="16:17" x14ac:dyDescent="0.3">
      <c r="P222"/>
      <c r="Q222"/>
    </row>
    <row r="223" spans="16:17" x14ac:dyDescent="0.3">
      <c r="P223"/>
      <c r="Q223"/>
    </row>
    <row r="224" spans="16:17" x14ac:dyDescent="0.3">
      <c r="P224"/>
      <c r="Q224"/>
    </row>
    <row r="225" spans="16:17" x14ac:dyDescent="0.3">
      <c r="P225"/>
      <c r="Q225"/>
    </row>
    <row r="226" spans="16:17" x14ac:dyDescent="0.3">
      <c r="P226"/>
      <c r="Q226"/>
    </row>
    <row r="227" spans="16:17" x14ac:dyDescent="0.3">
      <c r="P227"/>
      <c r="Q227"/>
    </row>
    <row r="228" spans="16:17" x14ac:dyDescent="0.3">
      <c r="P228"/>
      <c r="Q228"/>
    </row>
    <row r="229" spans="16:17" x14ac:dyDescent="0.3">
      <c r="P229"/>
      <c r="Q229"/>
    </row>
    <row r="230" spans="16:17" x14ac:dyDescent="0.3">
      <c r="P230"/>
      <c r="Q230"/>
    </row>
    <row r="231" spans="16:17" x14ac:dyDescent="0.3">
      <c r="P231"/>
      <c r="Q231"/>
    </row>
    <row r="232" spans="16:17" x14ac:dyDescent="0.3">
      <c r="P232"/>
      <c r="Q232"/>
    </row>
    <row r="233" spans="16:17" x14ac:dyDescent="0.3">
      <c r="P233"/>
      <c r="Q233"/>
    </row>
    <row r="234" spans="16:17" x14ac:dyDescent="0.3">
      <c r="P234"/>
      <c r="Q234"/>
    </row>
    <row r="235" spans="16:17" x14ac:dyDescent="0.3">
      <c r="P235"/>
      <c r="Q235"/>
    </row>
    <row r="236" spans="16:17" x14ac:dyDescent="0.3">
      <c r="P236"/>
      <c r="Q236"/>
    </row>
    <row r="237" spans="16:17" x14ac:dyDescent="0.3">
      <c r="P237"/>
      <c r="Q237"/>
    </row>
    <row r="238" spans="16:17" x14ac:dyDescent="0.3">
      <c r="P238"/>
      <c r="Q238"/>
    </row>
    <row r="239" spans="16:17" x14ac:dyDescent="0.3">
      <c r="P239"/>
      <c r="Q239"/>
    </row>
    <row r="240" spans="16:17" x14ac:dyDescent="0.3">
      <c r="P240"/>
      <c r="Q240"/>
    </row>
    <row r="241" spans="16:17" x14ac:dyDescent="0.3">
      <c r="P241"/>
      <c r="Q241"/>
    </row>
    <row r="242" spans="16:17" x14ac:dyDescent="0.3">
      <c r="P242"/>
      <c r="Q242"/>
    </row>
    <row r="243" spans="16:17" x14ac:dyDescent="0.3">
      <c r="P243"/>
      <c r="Q243"/>
    </row>
    <row r="244" spans="16:17" x14ac:dyDescent="0.3">
      <c r="P244"/>
      <c r="Q244"/>
    </row>
    <row r="245" spans="16:17" x14ac:dyDescent="0.3">
      <c r="P245"/>
      <c r="Q245"/>
    </row>
    <row r="246" spans="16:17" x14ac:dyDescent="0.3">
      <c r="P246"/>
      <c r="Q246"/>
    </row>
    <row r="247" spans="16:17" x14ac:dyDescent="0.3">
      <c r="P247"/>
      <c r="Q247"/>
    </row>
    <row r="248" spans="16:17" x14ac:dyDescent="0.3">
      <c r="P248"/>
      <c r="Q248"/>
    </row>
    <row r="249" spans="16:17" x14ac:dyDescent="0.3">
      <c r="P249"/>
      <c r="Q249"/>
    </row>
    <row r="250" spans="16:17" x14ac:dyDescent="0.3">
      <c r="P250"/>
      <c r="Q250"/>
    </row>
    <row r="251" spans="16:17" x14ac:dyDescent="0.3">
      <c r="P251"/>
      <c r="Q251"/>
    </row>
    <row r="252" spans="16:17" x14ac:dyDescent="0.3">
      <c r="P252"/>
      <c r="Q252"/>
    </row>
    <row r="253" spans="16:17" x14ac:dyDescent="0.3">
      <c r="P253"/>
      <c r="Q253"/>
    </row>
    <row r="254" spans="16:17" x14ac:dyDescent="0.3">
      <c r="P254"/>
      <c r="Q254"/>
    </row>
    <row r="255" spans="16:17" x14ac:dyDescent="0.3">
      <c r="P255"/>
      <c r="Q255"/>
    </row>
    <row r="256" spans="16:17" x14ac:dyDescent="0.3">
      <c r="P256"/>
      <c r="Q256"/>
    </row>
    <row r="257" spans="16:17" x14ac:dyDescent="0.3">
      <c r="P257"/>
      <c r="Q257"/>
    </row>
    <row r="258" spans="16:17" x14ac:dyDescent="0.3">
      <c r="P258"/>
      <c r="Q258"/>
    </row>
    <row r="259" spans="16:17" x14ac:dyDescent="0.3">
      <c r="P259"/>
      <c r="Q259"/>
    </row>
    <row r="260" spans="16:17" x14ac:dyDescent="0.3">
      <c r="P260"/>
      <c r="Q260"/>
    </row>
    <row r="261" spans="16:17" x14ac:dyDescent="0.3">
      <c r="P261"/>
      <c r="Q261"/>
    </row>
    <row r="262" spans="16:17" x14ac:dyDescent="0.3">
      <c r="P262"/>
      <c r="Q262"/>
    </row>
    <row r="263" spans="16:17" x14ac:dyDescent="0.3">
      <c r="P263"/>
      <c r="Q263"/>
    </row>
    <row r="264" spans="16:17" x14ac:dyDescent="0.3">
      <c r="P264"/>
      <c r="Q264"/>
    </row>
    <row r="265" spans="16:17" x14ac:dyDescent="0.3">
      <c r="P265"/>
      <c r="Q265"/>
    </row>
    <row r="266" spans="16:17" x14ac:dyDescent="0.3">
      <c r="P266"/>
      <c r="Q266"/>
    </row>
    <row r="267" spans="16:17" x14ac:dyDescent="0.3">
      <c r="P267"/>
      <c r="Q267"/>
    </row>
    <row r="268" spans="16:17" x14ac:dyDescent="0.3">
      <c r="P268"/>
      <c r="Q268"/>
    </row>
    <row r="269" spans="16:17" x14ac:dyDescent="0.3">
      <c r="P269"/>
      <c r="Q269"/>
    </row>
    <row r="270" spans="16:17" x14ac:dyDescent="0.3">
      <c r="P270"/>
      <c r="Q270"/>
    </row>
    <row r="271" spans="16:17" x14ac:dyDescent="0.3">
      <c r="P271"/>
      <c r="Q271"/>
    </row>
    <row r="272" spans="16:17" x14ac:dyDescent="0.3">
      <c r="P272"/>
      <c r="Q272"/>
    </row>
    <row r="273" spans="16:17" x14ac:dyDescent="0.3">
      <c r="P273"/>
      <c r="Q273"/>
    </row>
    <row r="274" spans="16:17" x14ac:dyDescent="0.3">
      <c r="P274"/>
      <c r="Q274"/>
    </row>
    <row r="275" spans="16:17" x14ac:dyDescent="0.3">
      <c r="P275"/>
      <c r="Q275"/>
    </row>
    <row r="276" spans="16:17" x14ac:dyDescent="0.3">
      <c r="P276"/>
      <c r="Q276"/>
    </row>
    <row r="277" spans="16:17" x14ac:dyDescent="0.3">
      <c r="P277"/>
      <c r="Q277"/>
    </row>
    <row r="278" spans="16:17" x14ac:dyDescent="0.3">
      <c r="P278"/>
      <c r="Q278"/>
    </row>
    <row r="279" spans="16:17" x14ac:dyDescent="0.3">
      <c r="P279"/>
      <c r="Q279"/>
    </row>
    <row r="280" spans="16:17" x14ac:dyDescent="0.3">
      <c r="P280"/>
      <c r="Q280"/>
    </row>
    <row r="281" spans="16:17" x14ac:dyDescent="0.3">
      <c r="P281"/>
      <c r="Q281"/>
    </row>
    <row r="282" spans="16:17" x14ac:dyDescent="0.3">
      <c r="P282"/>
      <c r="Q282"/>
    </row>
    <row r="283" spans="16:17" x14ac:dyDescent="0.3">
      <c r="P283"/>
      <c r="Q283"/>
    </row>
    <row r="284" spans="16:17" x14ac:dyDescent="0.3">
      <c r="P284"/>
      <c r="Q284"/>
    </row>
    <row r="285" spans="16:17" x14ac:dyDescent="0.3">
      <c r="P285"/>
      <c r="Q285"/>
    </row>
    <row r="286" spans="16:17" x14ac:dyDescent="0.3">
      <c r="P286"/>
      <c r="Q286"/>
    </row>
    <row r="287" spans="16:17" x14ac:dyDescent="0.3">
      <c r="P287"/>
      <c r="Q287"/>
    </row>
    <row r="288" spans="16:17" x14ac:dyDescent="0.3">
      <c r="P288"/>
      <c r="Q288"/>
    </row>
    <row r="289" spans="16:17" x14ac:dyDescent="0.3">
      <c r="P289"/>
      <c r="Q289"/>
    </row>
    <row r="290" spans="16:17" x14ac:dyDescent="0.3">
      <c r="P290"/>
      <c r="Q290"/>
    </row>
    <row r="291" spans="16:17" x14ac:dyDescent="0.3">
      <c r="P291"/>
      <c r="Q291"/>
    </row>
    <row r="292" spans="16:17" x14ac:dyDescent="0.3">
      <c r="P292"/>
      <c r="Q292"/>
    </row>
    <row r="293" spans="16:17" x14ac:dyDescent="0.3">
      <c r="P293"/>
      <c r="Q293"/>
    </row>
    <row r="294" spans="16:17" x14ac:dyDescent="0.3">
      <c r="P294"/>
      <c r="Q294"/>
    </row>
    <row r="295" spans="16:17" x14ac:dyDescent="0.3">
      <c r="P295"/>
      <c r="Q295"/>
    </row>
    <row r="296" spans="16:17" x14ac:dyDescent="0.3">
      <c r="P296"/>
      <c r="Q296"/>
    </row>
    <row r="297" spans="16:17" x14ac:dyDescent="0.3">
      <c r="P297"/>
      <c r="Q297"/>
    </row>
    <row r="298" spans="16:17" x14ac:dyDescent="0.3">
      <c r="P298"/>
      <c r="Q298"/>
    </row>
    <row r="299" spans="16:17" x14ac:dyDescent="0.3">
      <c r="P299"/>
      <c r="Q299"/>
    </row>
    <row r="300" spans="16:17" x14ac:dyDescent="0.3">
      <c r="P300"/>
      <c r="Q300"/>
    </row>
    <row r="301" spans="16:17" x14ac:dyDescent="0.3">
      <c r="P301"/>
      <c r="Q301"/>
    </row>
    <row r="302" spans="16:17" x14ac:dyDescent="0.3">
      <c r="P302"/>
      <c r="Q302"/>
    </row>
    <row r="303" spans="16:17" x14ac:dyDescent="0.3">
      <c r="P303"/>
      <c r="Q303"/>
    </row>
    <row r="304" spans="16:17" x14ac:dyDescent="0.3">
      <c r="P304"/>
      <c r="Q304"/>
    </row>
    <row r="305" spans="16:17" x14ac:dyDescent="0.3">
      <c r="P305"/>
      <c r="Q305"/>
    </row>
    <row r="306" spans="16:17" x14ac:dyDescent="0.3">
      <c r="P306"/>
      <c r="Q306"/>
    </row>
    <row r="307" spans="16:17" x14ac:dyDescent="0.3">
      <c r="P307"/>
      <c r="Q307"/>
    </row>
    <row r="308" spans="16:17" x14ac:dyDescent="0.3">
      <c r="P308"/>
      <c r="Q308"/>
    </row>
    <row r="309" spans="16:17" x14ac:dyDescent="0.3">
      <c r="P309"/>
      <c r="Q309"/>
    </row>
    <row r="310" spans="16:17" x14ac:dyDescent="0.3">
      <c r="P310"/>
      <c r="Q310"/>
    </row>
    <row r="311" spans="16:17" x14ac:dyDescent="0.3">
      <c r="P311"/>
      <c r="Q311"/>
    </row>
    <row r="312" spans="16:17" x14ac:dyDescent="0.3">
      <c r="P312"/>
      <c r="Q312"/>
    </row>
    <row r="313" spans="16:17" x14ac:dyDescent="0.3">
      <c r="P313"/>
      <c r="Q313"/>
    </row>
    <row r="314" spans="16:17" x14ac:dyDescent="0.3">
      <c r="P314"/>
      <c r="Q314"/>
    </row>
    <row r="315" spans="16:17" x14ac:dyDescent="0.3">
      <c r="P315"/>
      <c r="Q315"/>
    </row>
    <row r="316" spans="16:17" x14ac:dyDescent="0.3">
      <c r="P316"/>
      <c r="Q316"/>
    </row>
    <row r="317" spans="16:17" x14ac:dyDescent="0.3">
      <c r="P317"/>
      <c r="Q317"/>
    </row>
    <row r="318" spans="16:17" x14ac:dyDescent="0.3">
      <c r="P318"/>
      <c r="Q318"/>
    </row>
    <row r="319" spans="16:17" x14ac:dyDescent="0.3">
      <c r="P319"/>
      <c r="Q319"/>
    </row>
    <row r="320" spans="16:17" x14ac:dyDescent="0.3">
      <c r="P320"/>
      <c r="Q320"/>
    </row>
    <row r="321" spans="16:17" x14ac:dyDescent="0.3">
      <c r="P321"/>
      <c r="Q321"/>
    </row>
    <row r="322" spans="16:17" x14ac:dyDescent="0.3">
      <c r="P322"/>
      <c r="Q322"/>
    </row>
    <row r="323" spans="16:17" x14ac:dyDescent="0.3">
      <c r="P323"/>
      <c r="Q323"/>
    </row>
    <row r="324" spans="16:17" x14ac:dyDescent="0.3">
      <c r="P324"/>
      <c r="Q324"/>
    </row>
    <row r="325" spans="16:17" x14ac:dyDescent="0.3">
      <c r="P325"/>
      <c r="Q325"/>
    </row>
    <row r="326" spans="16:17" x14ac:dyDescent="0.3">
      <c r="P326"/>
      <c r="Q326"/>
    </row>
    <row r="327" spans="16:17" x14ac:dyDescent="0.3">
      <c r="P327"/>
      <c r="Q327"/>
    </row>
    <row r="328" spans="16:17" x14ac:dyDescent="0.3">
      <c r="P328"/>
      <c r="Q328"/>
    </row>
    <row r="329" spans="16:17" x14ac:dyDescent="0.3">
      <c r="P329"/>
      <c r="Q329"/>
    </row>
    <row r="330" spans="16:17" x14ac:dyDescent="0.3">
      <c r="P330"/>
      <c r="Q330"/>
    </row>
    <row r="331" spans="16:17" x14ac:dyDescent="0.3">
      <c r="P331"/>
      <c r="Q331"/>
    </row>
    <row r="332" spans="16:17" x14ac:dyDescent="0.3">
      <c r="P332"/>
      <c r="Q332"/>
    </row>
    <row r="333" spans="16:17" x14ac:dyDescent="0.3">
      <c r="P333"/>
      <c r="Q333"/>
    </row>
    <row r="334" spans="16:17" x14ac:dyDescent="0.3">
      <c r="P334"/>
      <c r="Q334"/>
    </row>
    <row r="335" spans="16:17" x14ac:dyDescent="0.3">
      <c r="P335"/>
      <c r="Q335"/>
    </row>
    <row r="336" spans="16:17" x14ac:dyDescent="0.3">
      <c r="P336"/>
      <c r="Q336"/>
    </row>
    <row r="337" spans="16:17" x14ac:dyDescent="0.3">
      <c r="P337"/>
      <c r="Q337"/>
    </row>
    <row r="338" spans="16:17" x14ac:dyDescent="0.3">
      <c r="P338"/>
      <c r="Q338"/>
    </row>
    <row r="339" spans="16:17" x14ac:dyDescent="0.3">
      <c r="P339"/>
      <c r="Q339"/>
    </row>
    <row r="340" spans="16:17" x14ac:dyDescent="0.3">
      <c r="P340"/>
      <c r="Q340"/>
    </row>
    <row r="341" spans="16:17" x14ac:dyDescent="0.3">
      <c r="P341"/>
      <c r="Q341"/>
    </row>
    <row r="342" spans="16:17" x14ac:dyDescent="0.3">
      <c r="P342"/>
      <c r="Q342"/>
    </row>
    <row r="343" spans="16:17" x14ac:dyDescent="0.3">
      <c r="P343"/>
      <c r="Q343"/>
    </row>
    <row r="344" spans="16:17" x14ac:dyDescent="0.3">
      <c r="P344"/>
      <c r="Q344"/>
    </row>
    <row r="345" spans="16:17" x14ac:dyDescent="0.3">
      <c r="P345"/>
      <c r="Q345"/>
    </row>
    <row r="346" spans="16:17" x14ac:dyDescent="0.3">
      <c r="P346"/>
      <c r="Q346"/>
    </row>
    <row r="347" spans="16:17" x14ac:dyDescent="0.3">
      <c r="P347"/>
      <c r="Q347"/>
    </row>
    <row r="348" spans="16:17" x14ac:dyDescent="0.3">
      <c r="P348"/>
      <c r="Q348"/>
    </row>
    <row r="349" spans="16:17" x14ac:dyDescent="0.3">
      <c r="P349"/>
      <c r="Q349"/>
    </row>
    <row r="350" spans="16:17" x14ac:dyDescent="0.3">
      <c r="P350"/>
      <c r="Q350"/>
    </row>
    <row r="351" spans="16:17" x14ac:dyDescent="0.3">
      <c r="P351"/>
      <c r="Q351"/>
    </row>
    <row r="352" spans="16:17" x14ac:dyDescent="0.3">
      <c r="P352"/>
      <c r="Q352"/>
    </row>
  </sheetData>
  <mergeCells count="9">
    <mergeCell ref="N23:O23"/>
    <mergeCell ref="N37:O37"/>
    <mergeCell ref="K47:L47"/>
    <mergeCell ref="B1:O1"/>
    <mergeCell ref="B3:G3"/>
    <mergeCell ref="K3:O3"/>
    <mergeCell ref="B12:C12"/>
    <mergeCell ref="K21:K22"/>
    <mergeCell ref="L21:L22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1F9E-C160-45D9-9E33-7029D8FC8866}">
  <dimension ref="B1:AN352"/>
  <sheetViews>
    <sheetView zoomScaleNormal="100" workbookViewId="0">
      <selection activeCell="B3" sqref="B3:G3"/>
    </sheetView>
  </sheetViews>
  <sheetFormatPr defaultColWidth="9.33203125" defaultRowHeight="14.4" x14ac:dyDescent="0.3"/>
  <cols>
    <col min="1" max="1" width="1.6640625" customWidth="1"/>
    <col min="2" max="2" width="35.6640625" bestFit="1" customWidth="1"/>
    <col min="3" max="3" width="15.44140625" customWidth="1"/>
    <col min="4" max="5" width="11.33203125" customWidth="1"/>
    <col min="6" max="6" width="32.44140625" bestFit="1" customWidth="1"/>
    <col min="7" max="7" width="10.33203125" customWidth="1"/>
    <col min="8" max="8" width="1.6640625" customWidth="1"/>
    <col min="9" max="10" width="2" customWidth="1"/>
    <col min="11" max="11" width="22.6640625" bestFit="1" customWidth="1"/>
    <col min="12" max="12" width="14.44140625" bestFit="1" customWidth="1"/>
    <col min="13" max="13" width="15.33203125" customWidth="1"/>
    <col min="14" max="14" width="22.6640625" bestFit="1" customWidth="1"/>
    <col min="15" max="15" width="14.44140625" bestFit="1" customWidth="1"/>
    <col min="16" max="16" width="11.44140625" style="1" bestFit="1" customWidth="1"/>
    <col min="17" max="17" width="18.44140625" style="1" bestFit="1" customWidth="1"/>
    <col min="18" max="18" width="18.44140625" hidden="1" customWidth="1"/>
    <col min="19" max="19" width="5.6640625" hidden="1" customWidth="1"/>
    <col min="20" max="39" width="12.33203125" bestFit="1" customWidth="1"/>
    <col min="40" max="40" width="13" bestFit="1" customWidth="1"/>
  </cols>
  <sheetData>
    <row r="1" spans="2:19" ht="28.8" x14ac:dyDescent="0.3"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15" thickBot="1" x14ac:dyDescent="0.35"/>
    <row r="3" spans="2:19" ht="18.600000000000001" thickBot="1" x14ac:dyDescent="0.4">
      <c r="B3" s="45" t="s">
        <v>81</v>
      </c>
      <c r="C3" s="45"/>
      <c r="D3" s="45"/>
      <c r="E3" s="45"/>
      <c r="F3" s="45"/>
      <c r="G3" s="45"/>
      <c r="K3" s="46" t="s">
        <v>65</v>
      </c>
      <c r="L3" s="47"/>
      <c r="M3" s="47"/>
      <c r="N3" s="47"/>
      <c r="O3" s="47"/>
      <c r="Q3"/>
    </row>
    <row r="4" spans="2:19" ht="15" thickBot="1" x14ac:dyDescent="0.35">
      <c r="C4" s="2"/>
      <c r="D4" s="2"/>
      <c r="E4" s="2"/>
      <c r="P4"/>
      <c r="Q4"/>
    </row>
    <row r="5" spans="2:19" ht="16.5" customHeight="1" thickBot="1" x14ac:dyDescent="0.35">
      <c r="B5" s="3" t="s">
        <v>1</v>
      </c>
      <c r="C5" s="4">
        <f>27+21</f>
        <v>48</v>
      </c>
      <c r="D5" s="5"/>
      <c r="E5" s="5" t="s">
        <v>2</v>
      </c>
      <c r="F5" s="6" t="s">
        <v>3</v>
      </c>
      <c r="G5" s="7" t="s">
        <v>4</v>
      </c>
      <c r="K5" s="6" t="s">
        <v>63</v>
      </c>
      <c r="L5" s="8" t="s">
        <v>5</v>
      </c>
      <c r="N5" s="6" t="s">
        <v>64</v>
      </c>
      <c r="O5" s="6"/>
      <c r="Q5"/>
      <c r="R5" s="9" t="s">
        <v>6</v>
      </c>
      <c r="S5" s="9" t="s">
        <v>7</v>
      </c>
    </row>
    <row r="6" spans="2:19" x14ac:dyDescent="0.3">
      <c r="B6" s="10" t="s">
        <v>8</v>
      </c>
      <c r="C6" s="11">
        <f>4+2</f>
        <v>6</v>
      </c>
      <c r="D6" s="5"/>
      <c r="E6" s="12"/>
      <c r="F6" s="13" t="s">
        <v>9</v>
      </c>
      <c r="G6" s="14">
        <v>2</v>
      </c>
      <c r="K6" s="15" t="s">
        <v>10</v>
      </c>
      <c r="L6" s="16">
        <f>3+2+4+13+2</f>
        <v>24</v>
      </c>
      <c r="N6" s="17" t="s">
        <v>9</v>
      </c>
      <c r="O6" s="14">
        <f>2+1</f>
        <v>3</v>
      </c>
      <c r="P6" s="18"/>
      <c r="Q6"/>
      <c r="R6" s="17" t="s">
        <v>11</v>
      </c>
      <c r="S6" s="19">
        <v>3</v>
      </c>
    </row>
    <row r="7" spans="2:19" ht="15" customHeight="1" x14ac:dyDescent="0.3">
      <c r="B7" s="10" t="s">
        <v>12</v>
      </c>
      <c r="C7" s="11">
        <f>14+22</f>
        <v>36</v>
      </c>
      <c r="D7" s="5"/>
      <c r="E7" s="12"/>
      <c r="F7" s="20" t="s">
        <v>11</v>
      </c>
      <c r="G7" s="14">
        <v>1</v>
      </c>
      <c r="K7" s="15" t="s">
        <v>13</v>
      </c>
      <c r="L7" s="16">
        <f>6+7+7+5</f>
        <v>25</v>
      </c>
      <c r="N7" s="21" t="s">
        <v>11</v>
      </c>
      <c r="O7" s="14">
        <f>2+2+2</f>
        <v>6</v>
      </c>
      <c r="P7" s="18"/>
      <c r="Q7"/>
      <c r="R7" s="21" t="s">
        <v>14</v>
      </c>
      <c r="S7" s="22">
        <v>6</v>
      </c>
    </row>
    <row r="8" spans="2:19" x14ac:dyDescent="0.3">
      <c r="B8" s="10" t="s">
        <v>15</v>
      </c>
      <c r="C8" s="23">
        <f>1+3</f>
        <v>4</v>
      </c>
      <c r="D8" s="12"/>
      <c r="E8" s="12"/>
      <c r="F8" s="21" t="s">
        <v>16</v>
      </c>
      <c r="G8" s="14">
        <v>7</v>
      </c>
      <c r="K8" s="15" t="s">
        <v>17</v>
      </c>
      <c r="L8" s="24">
        <f>7+10</f>
        <v>17</v>
      </c>
      <c r="N8" s="21" t="s">
        <v>16</v>
      </c>
      <c r="O8" s="14">
        <f>4+1+1</f>
        <v>6</v>
      </c>
      <c r="P8" s="18"/>
      <c r="Q8"/>
      <c r="R8" s="21" t="s">
        <v>18</v>
      </c>
      <c r="S8" s="22">
        <v>6</v>
      </c>
    </row>
    <row r="9" spans="2:19" x14ac:dyDescent="0.3">
      <c r="B9" s="10" t="s">
        <v>19</v>
      </c>
      <c r="C9" s="23">
        <f>0+2</f>
        <v>2</v>
      </c>
      <c r="D9" s="12"/>
      <c r="E9" s="12"/>
      <c r="F9" s="21" t="s">
        <v>14</v>
      </c>
      <c r="G9" s="14">
        <v>2</v>
      </c>
      <c r="K9" s="15" t="s">
        <v>20</v>
      </c>
      <c r="L9" s="24"/>
      <c r="M9" s="18"/>
      <c r="N9" s="21" t="s">
        <v>14</v>
      </c>
      <c r="O9" s="14">
        <f>1</f>
        <v>1</v>
      </c>
      <c r="P9" s="18"/>
      <c r="Q9"/>
      <c r="R9" s="21" t="s">
        <v>21</v>
      </c>
      <c r="S9" s="22">
        <v>1</v>
      </c>
    </row>
    <row r="10" spans="2:19" x14ac:dyDescent="0.3">
      <c r="B10" s="10" t="s">
        <v>22</v>
      </c>
      <c r="C10" s="23">
        <f>7+10</f>
        <v>17</v>
      </c>
      <c r="D10" s="12"/>
      <c r="E10" s="12"/>
      <c r="F10" s="21" t="s">
        <v>27</v>
      </c>
      <c r="G10" s="14">
        <v>3</v>
      </c>
      <c r="K10" s="15" t="s">
        <v>24</v>
      </c>
      <c r="L10" s="24"/>
      <c r="N10" s="21" t="s">
        <v>27</v>
      </c>
      <c r="O10" s="14">
        <f>2+1</f>
        <v>3</v>
      </c>
      <c r="P10" s="18"/>
      <c r="R10" s="21" t="s">
        <v>25</v>
      </c>
      <c r="S10" s="22">
        <v>6</v>
      </c>
    </row>
    <row r="11" spans="2:19" ht="15" thickBot="1" x14ac:dyDescent="0.35">
      <c r="B11" s="25" t="s">
        <v>26</v>
      </c>
      <c r="C11" s="26">
        <f>3+3</f>
        <v>6</v>
      </c>
      <c r="D11" s="12"/>
      <c r="E11" s="12"/>
      <c r="F11" s="21" t="s">
        <v>30</v>
      </c>
      <c r="G11" s="14">
        <v>6</v>
      </c>
      <c r="K11" s="15" t="s">
        <v>28</v>
      </c>
      <c r="L11" s="24"/>
      <c r="N11" s="21" t="s">
        <v>30</v>
      </c>
      <c r="O11" s="14">
        <f>1+1</f>
        <v>2</v>
      </c>
      <c r="P11" s="18"/>
      <c r="R11" s="21" t="s">
        <v>29</v>
      </c>
      <c r="S11" s="22">
        <v>7</v>
      </c>
    </row>
    <row r="12" spans="2:19" ht="15" thickBot="1" x14ac:dyDescent="0.35">
      <c r="B12" s="48"/>
      <c r="C12" s="49"/>
      <c r="D12" s="12"/>
      <c r="F12" s="21" t="s">
        <v>59</v>
      </c>
      <c r="G12" s="14">
        <v>1</v>
      </c>
      <c r="K12" s="15" t="s">
        <v>31</v>
      </c>
      <c r="L12" s="24"/>
      <c r="N12" s="21" t="s">
        <v>59</v>
      </c>
      <c r="O12" s="14">
        <f>1</f>
        <v>1</v>
      </c>
      <c r="P12" s="18"/>
      <c r="R12" s="21" t="s">
        <v>32</v>
      </c>
      <c r="S12" s="22">
        <v>3</v>
      </c>
    </row>
    <row r="13" spans="2:19" ht="15" thickBot="1" x14ac:dyDescent="0.35">
      <c r="B13" s="27" t="s">
        <v>3</v>
      </c>
      <c r="C13" s="8" t="s">
        <v>7</v>
      </c>
      <c r="D13" s="12"/>
      <c r="F13" s="21" t="s">
        <v>58</v>
      </c>
      <c r="G13" s="14">
        <v>0</v>
      </c>
      <c r="K13" s="15" t="s">
        <v>34</v>
      </c>
      <c r="L13" s="24"/>
      <c r="N13" s="21" t="s">
        <v>58</v>
      </c>
      <c r="O13" s="14">
        <v>0</v>
      </c>
      <c r="P13" s="18"/>
      <c r="R13" s="21" t="s">
        <v>35</v>
      </c>
      <c r="S13" s="22">
        <v>1</v>
      </c>
    </row>
    <row r="14" spans="2:19" ht="15" thickBot="1" x14ac:dyDescent="0.35">
      <c r="B14" s="13" t="s">
        <v>9</v>
      </c>
      <c r="C14" s="28">
        <v>0</v>
      </c>
      <c r="F14" s="21" t="s">
        <v>33</v>
      </c>
      <c r="G14" s="14">
        <v>2</v>
      </c>
      <c r="K14" s="15" t="s">
        <v>37</v>
      </c>
      <c r="L14" s="24"/>
      <c r="N14" s="21" t="s">
        <v>38</v>
      </c>
      <c r="O14" s="14">
        <f>1+1+4+1</f>
        <v>7</v>
      </c>
      <c r="P14" s="18"/>
      <c r="R14" s="30" t="s">
        <v>39</v>
      </c>
      <c r="S14" s="22">
        <v>1</v>
      </c>
    </row>
    <row r="15" spans="2:19" ht="15" thickBot="1" x14ac:dyDescent="0.35">
      <c r="B15" s="20" t="s">
        <v>11</v>
      </c>
      <c r="C15" s="14">
        <v>0</v>
      </c>
      <c r="F15" s="21" t="s">
        <v>36</v>
      </c>
      <c r="G15" s="29">
        <v>1</v>
      </c>
      <c r="K15" s="15" t="s">
        <v>41</v>
      </c>
      <c r="L15" s="24"/>
      <c r="N15" s="21" t="s">
        <v>42</v>
      </c>
      <c r="O15" s="14">
        <f>2+1+1+1+2</f>
        <v>7</v>
      </c>
      <c r="P15" s="18"/>
      <c r="R15" s="32" t="s">
        <v>43</v>
      </c>
      <c r="S15" s="9">
        <v>34</v>
      </c>
    </row>
    <row r="16" spans="2:19" ht="15" customHeight="1" thickBot="1" x14ac:dyDescent="0.35">
      <c r="B16" s="20" t="s">
        <v>16</v>
      </c>
      <c r="C16" s="14">
        <v>0</v>
      </c>
      <c r="F16" s="31" t="s">
        <v>40</v>
      </c>
      <c r="G16" s="7">
        <f>SUM(G6:G15)</f>
        <v>25</v>
      </c>
      <c r="K16" s="15" t="s">
        <v>44</v>
      </c>
      <c r="L16" s="24"/>
      <c r="N16" s="33" t="s">
        <v>45</v>
      </c>
      <c r="O16" s="14">
        <f>1</f>
        <v>1</v>
      </c>
    </row>
    <row r="17" spans="2:38" ht="15" customHeight="1" thickBot="1" x14ac:dyDescent="0.35">
      <c r="B17" s="20" t="s">
        <v>14</v>
      </c>
      <c r="C17" s="14">
        <v>0</v>
      </c>
      <c r="K17" s="15" t="s">
        <v>46</v>
      </c>
      <c r="L17" s="24"/>
      <c r="N17" s="21" t="s">
        <v>21</v>
      </c>
      <c r="O17" s="14">
        <v>0</v>
      </c>
    </row>
    <row r="18" spans="2:38" ht="15" thickBot="1" x14ac:dyDescent="0.35">
      <c r="B18" s="20" t="s">
        <v>23</v>
      </c>
      <c r="C18" s="14">
        <v>0</v>
      </c>
      <c r="F18" s="1"/>
      <c r="K18" s="7" t="s">
        <v>63</v>
      </c>
      <c r="L18" s="34">
        <f>SUM(L6:L17)</f>
        <v>66</v>
      </c>
      <c r="N18" s="21" t="s">
        <v>47</v>
      </c>
      <c r="O18" s="14">
        <f>3+1+3+7+4+4+7</f>
        <v>29</v>
      </c>
    </row>
    <row r="19" spans="2:38" ht="15" thickBot="1" x14ac:dyDescent="0.35">
      <c r="B19" s="21" t="s">
        <v>27</v>
      </c>
      <c r="C19" s="14">
        <v>1</v>
      </c>
      <c r="N19" s="7" t="s">
        <v>48</v>
      </c>
      <c r="O19" s="7">
        <f>SUM(O6:O18)</f>
        <v>66</v>
      </c>
    </row>
    <row r="20" spans="2:38" ht="15" customHeight="1" thickBot="1" x14ac:dyDescent="0.35">
      <c r="B20" s="21" t="s">
        <v>30</v>
      </c>
      <c r="C20" s="14">
        <v>0</v>
      </c>
      <c r="N20" s="35"/>
      <c r="O20" s="35"/>
    </row>
    <row r="21" spans="2:38" ht="15" customHeight="1" x14ac:dyDescent="0.3">
      <c r="B21" s="20" t="s">
        <v>59</v>
      </c>
      <c r="C21" s="14">
        <v>0</v>
      </c>
      <c r="K21" s="50" t="s">
        <v>49</v>
      </c>
      <c r="L21" s="52">
        <f>L18/3</f>
        <v>22</v>
      </c>
      <c r="N21" s="35"/>
      <c r="O21" s="35"/>
    </row>
    <row r="22" spans="2:38" s="1" customFormat="1" ht="15" customHeight="1" thickBot="1" x14ac:dyDescent="0.35">
      <c r="B22" s="20" t="s">
        <v>58</v>
      </c>
      <c r="C22" s="14">
        <v>0</v>
      </c>
      <c r="D22"/>
      <c r="F22" s="36"/>
      <c r="G22"/>
      <c r="K22" s="51"/>
      <c r="L22" s="53"/>
      <c r="N22"/>
      <c r="O22"/>
      <c r="R22"/>
      <c r="S22"/>
    </row>
    <row r="23" spans="2:38" s="1" customFormat="1" ht="15" customHeight="1" thickBot="1" x14ac:dyDescent="0.35">
      <c r="B23" s="20" t="s">
        <v>25</v>
      </c>
      <c r="C23" s="14">
        <v>0</v>
      </c>
      <c r="D23"/>
      <c r="F23"/>
      <c r="G23"/>
      <c r="N23" s="40" t="s">
        <v>61</v>
      </c>
      <c r="O23" s="41"/>
      <c r="R23"/>
      <c r="S23"/>
    </row>
    <row r="24" spans="2:38" s="1" customFormat="1" ht="15" customHeight="1" x14ac:dyDescent="0.3">
      <c r="B24" s="20" t="s">
        <v>42</v>
      </c>
      <c r="C24" s="14">
        <v>2</v>
      </c>
      <c r="F24"/>
      <c r="G24"/>
      <c r="N24" s="17" t="s">
        <v>9</v>
      </c>
      <c r="O24" s="14">
        <f>3+2+1+1+2+2+1+1+2+2</f>
        <v>17</v>
      </c>
      <c r="R24"/>
      <c r="S24"/>
    </row>
    <row r="25" spans="2:38" s="1" customFormat="1" ht="15" customHeight="1" x14ac:dyDescent="0.3">
      <c r="B25" s="20" t="s">
        <v>50</v>
      </c>
      <c r="C25" s="14">
        <v>0</v>
      </c>
      <c r="F25"/>
      <c r="G25"/>
      <c r="N25" s="21" t="s">
        <v>11</v>
      </c>
      <c r="O25" s="14">
        <f>2+4+5+1+0+1+6+2+1+1</f>
        <v>23</v>
      </c>
      <c r="R25"/>
      <c r="S25"/>
    </row>
    <row r="26" spans="2:38" s="1" customFormat="1" ht="15" customHeight="1" x14ac:dyDescent="0.3">
      <c r="B26" s="20" t="s">
        <v>21</v>
      </c>
      <c r="C26" s="14">
        <v>0</v>
      </c>
      <c r="G26"/>
      <c r="N26" s="21" t="s">
        <v>16</v>
      </c>
      <c r="O26" s="14">
        <f>4+9+0+8+2+5+3+4+1+7</f>
        <v>43</v>
      </c>
      <c r="P26" s="39"/>
    </row>
    <row r="27" spans="2:38" s="1" customFormat="1" x14ac:dyDescent="0.3">
      <c r="B27" s="21" t="s">
        <v>79</v>
      </c>
      <c r="C27" s="14">
        <v>1</v>
      </c>
      <c r="G27"/>
      <c r="N27" s="21" t="s">
        <v>14</v>
      </c>
      <c r="O27" s="14">
        <f>1+0+0+0+0+0+0+0+1+2</f>
        <v>4</v>
      </c>
      <c r="Q27"/>
    </row>
    <row r="28" spans="2:38" s="1" customFormat="1" x14ac:dyDescent="0.3">
      <c r="B28" s="21" t="s">
        <v>77</v>
      </c>
      <c r="C28" s="14">
        <v>5</v>
      </c>
      <c r="E28" s="37"/>
      <c r="F28"/>
      <c r="G28"/>
      <c r="N28" s="21" t="s">
        <v>27</v>
      </c>
      <c r="O28" s="14">
        <f>1+3+3+4+4+1+2+5+4+5+3</f>
        <v>35</v>
      </c>
      <c r="Q28"/>
    </row>
    <row r="29" spans="2:38" s="1" customFormat="1" x14ac:dyDescent="0.3">
      <c r="B29" s="21" t="s">
        <v>74</v>
      </c>
      <c r="C29" s="14">
        <v>0</v>
      </c>
      <c r="F29"/>
      <c r="G29"/>
      <c r="N29" s="21" t="s">
        <v>30</v>
      </c>
      <c r="O29" s="14">
        <f>4+3+2+4+2+0+0+1+3+6</f>
        <v>25</v>
      </c>
      <c r="Q29"/>
    </row>
    <row r="30" spans="2:38" s="1" customFormat="1" x14ac:dyDescent="0.3">
      <c r="B30" s="21" t="s">
        <v>53</v>
      </c>
      <c r="C30" s="14">
        <v>0</v>
      </c>
      <c r="F30"/>
      <c r="G30"/>
      <c r="N30" s="21" t="s">
        <v>59</v>
      </c>
      <c r="O30" s="14">
        <f>1+0+0+1+1+0+0+0+1</f>
        <v>4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2:38" s="1" customFormat="1" x14ac:dyDescent="0.3">
      <c r="B31" s="21" t="s">
        <v>54</v>
      </c>
      <c r="C31" s="14">
        <v>0</v>
      </c>
      <c r="N31" s="21" t="s">
        <v>58</v>
      </c>
      <c r="O31" s="14">
        <f>0+0+0+0+0+0</f>
        <v>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2:38" s="1" customFormat="1" ht="15" thickBot="1" x14ac:dyDescent="0.35">
      <c r="B32" s="30" t="s">
        <v>55</v>
      </c>
      <c r="C32" s="14">
        <v>1</v>
      </c>
      <c r="N32" s="21" t="s">
        <v>33</v>
      </c>
      <c r="O32" s="14">
        <f>0+1+2+0+3+2+0+2+2</f>
        <v>12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2:40" s="1" customFormat="1" ht="15" thickBot="1" x14ac:dyDescent="0.35">
      <c r="B33" s="38" t="s">
        <v>56</v>
      </c>
      <c r="C33" s="7">
        <f>SUM(C14:C32)</f>
        <v>10</v>
      </c>
      <c r="N33" s="21" t="s">
        <v>47</v>
      </c>
      <c r="O33" s="14">
        <f>0+6+4+4+1+0+1+1</f>
        <v>17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2:40" s="1" customFormat="1" ht="15" thickBot="1" x14ac:dyDescent="0.35">
      <c r="N34" s="7" t="s">
        <v>48</v>
      </c>
      <c r="O34" s="7">
        <f>SUM(O24:O33)</f>
        <v>180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2:40" s="1" customFormat="1" x14ac:dyDescent="0.3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2:40" s="1" customFormat="1" ht="15" thickBot="1" x14ac:dyDescent="0.3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s="1" customFormat="1" ht="15" thickBot="1" x14ac:dyDescent="0.35">
      <c r="K37"/>
      <c r="L37"/>
      <c r="N37" s="40" t="s">
        <v>62</v>
      </c>
      <c r="O37" s="4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2:40" s="1" customFormat="1" x14ac:dyDescent="0.3">
      <c r="K38"/>
      <c r="L38"/>
      <c r="N38" s="17" t="s">
        <v>9</v>
      </c>
      <c r="O38" s="14">
        <f>5+1+6+5+4+6+3+6+8+4</f>
        <v>48</v>
      </c>
      <c r="R38"/>
      <c r="S38"/>
    </row>
    <row r="39" spans="2:40" x14ac:dyDescent="0.3">
      <c r="B39" s="1"/>
      <c r="C39" s="1"/>
      <c r="D39" s="1"/>
      <c r="F39" s="1"/>
      <c r="G39" s="1"/>
      <c r="N39" s="21" t="s">
        <v>11</v>
      </c>
      <c r="O39" s="14">
        <f>1+6+6+2+0+6+4+2+4+4</f>
        <v>35</v>
      </c>
    </row>
    <row r="40" spans="2:40" s="1" customFormat="1" x14ac:dyDescent="0.3">
      <c r="K40"/>
      <c r="L40"/>
      <c r="N40" s="21" t="s">
        <v>16</v>
      </c>
      <c r="O40" s="14">
        <f>4+4+5+6+3+3+5+3+5+3</f>
        <v>41</v>
      </c>
      <c r="P40" s="39"/>
      <c r="R40"/>
      <c r="S40"/>
    </row>
    <row r="41" spans="2:40" x14ac:dyDescent="0.3">
      <c r="B41" s="1"/>
      <c r="C41" s="1"/>
      <c r="F41" s="1"/>
      <c r="G41" s="1"/>
      <c r="N41" s="21" t="s">
        <v>14</v>
      </c>
      <c r="O41" s="14">
        <f>1+3+0+1+0+1+0+2</f>
        <v>8</v>
      </c>
    </row>
    <row r="42" spans="2:40" s="1" customFormat="1" x14ac:dyDescent="0.3">
      <c r="F42"/>
      <c r="G42"/>
      <c r="K42"/>
      <c r="L42"/>
      <c r="N42" s="21" t="s">
        <v>27</v>
      </c>
      <c r="O42" s="14">
        <f>4+5+3+4+5+7+6+2+1</f>
        <v>37</v>
      </c>
      <c r="R42"/>
      <c r="S42"/>
    </row>
    <row r="43" spans="2:40" x14ac:dyDescent="0.3">
      <c r="B43" s="1"/>
      <c r="C43" s="1"/>
      <c r="N43" s="21" t="s">
        <v>30</v>
      </c>
      <c r="O43" s="14">
        <f>1+3+5+4+6+1+2+3+4+3+3</f>
        <v>35</v>
      </c>
      <c r="Q43"/>
    </row>
    <row r="44" spans="2:40" x14ac:dyDescent="0.3">
      <c r="C44" s="1"/>
      <c r="D44" s="1"/>
      <c r="N44" s="21" t="s">
        <v>59</v>
      </c>
      <c r="O44" s="14">
        <f>1+3+0+2+2+3+2+2+4+3</f>
        <v>22</v>
      </c>
      <c r="Q44"/>
    </row>
    <row r="45" spans="2:40" x14ac:dyDescent="0.3">
      <c r="N45" s="21" t="s">
        <v>58</v>
      </c>
      <c r="O45" s="14">
        <f>1+0+0+0+0+0+0+0+0</f>
        <v>1</v>
      </c>
      <c r="Q45"/>
    </row>
    <row r="46" spans="2:40" ht="15" customHeight="1" x14ac:dyDescent="0.3">
      <c r="N46" s="21" t="s">
        <v>33</v>
      </c>
      <c r="O46" s="14">
        <f>0+3+2+0+2+2+4+1+1</f>
        <v>15</v>
      </c>
      <c r="Q46"/>
    </row>
    <row r="47" spans="2:40" ht="15" thickBot="1" x14ac:dyDescent="0.35">
      <c r="K47" s="42"/>
      <c r="L47" s="42"/>
      <c r="N47" s="21" t="s">
        <v>47</v>
      </c>
      <c r="O47" s="14">
        <f>1+11+0+0+0+1+6+4+0</f>
        <v>23</v>
      </c>
      <c r="Q47"/>
    </row>
    <row r="48" spans="2:40" ht="15" thickBot="1" x14ac:dyDescent="0.35">
      <c r="N48" s="7" t="s">
        <v>48</v>
      </c>
      <c r="O48" s="7">
        <f>SUM(O38:O47)</f>
        <v>265</v>
      </c>
      <c r="P48"/>
      <c r="Q48"/>
    </row>
    <row r="49" spans="16:17" x14ac:dyDescent="0.3">
      <c r="P49"/>
      <c r="Q49"/>
    </row>
    <row r="50" spans="16:17" x14ac:dyDescent="0.3">
      <c r="P50"/>
      <c r="Q50"/>
    </row>
    <row r="51" spans="16:17" x14ac:dyDescent="0.3">
      <c r="P51"/>
      <c r="Q51"/>
    </row>
    <row r="52" spans="16:17" x14ac:dyDescent="0.3">
      <c r="P52"/>
      <c r="Q52"/>
    </row>
    <row r="53" spans="16:17" x14ac:dyDescent="0.3">
      <c r="P53"/>
      <c r="Q53"/>
    </row>
    <row r="54" spans="16:17" x14ac:dyDescent="0.3">
      <c r="P54"/>
      <c r="Q54"/>
    </row>
    <row r="55" spans="16:17" x14ac:dyDescent="0.3">
      <c r="P55"/>
      <c r="Q55"/>
    </row>
    <row r="56" spans="16:17" x14ac:dyDescent="0.3">
      <c r="P56"/>
      <c r="Q56"/>
    </row>
    <row r="57" spans="16:17" x14ac:dyDescent="0.3">
      <c r="P57"/>
      <c r="Q57"/>
    </row>
    <row r="58" spans="16:17" x14ac:dyDescent="0.3">
      <c r="P58"/>
      <c r="Q58"/>
    </row>
    <row r="59" spans="16:17" x14ac:dyDescent="0.3">
      <c r="P59"/>
      <c r="Q59"/>
    </row>
    <row r="60" spans="16:17" x14ac:dyDescent="0.3">
      <c r="P60"/>
      <c r="Q60"/>
    </row>
    <row r="61" spans="16:17" x14ac:dyDescent="0.3">
      <c r="P61"/>
      <c r="Q61"/>
    </row>
    <row r="62" spans="16:17" x14ac:dyDescent="0.3">
      <c r="P62"/>
      <c r="Q62"/>
    </row>
    <row r="63" spans="16:17" x14ac:dyDescent="0.3">
      <c r="P63"/>
      <c r="Q63"/>
    </row>
    <row r="64" spans="16:17" x14ac:dyDescent="0.3">
      <c r="P64"/>
      <c r="Q64"/>
    </row>
    <row r="65" spans="16:17" x14ac:dyDescent="0.3">
      <c r="P65"/>
      <c r="Q65"/>
    </row>
    <row r="66" spans="16:17" x14ac:dyDescent="0.3">
      <c r="P66"/>
      <c r="Q66"/>
    </row>
    <row r="67" spans="16:17" x14ac:dyDescent="0.3">
      <c r="P67"/>
      <c r="Q67"/>
    </row>
    <row r="68" spans="16:17" x14ac:dyDescent="0.3">
      <c r="P68"/>
      <c r="Q68"/>
    </row>
    <row r="69" spans="16:17" x14ac:dyDescent="0.3">
      <c r="P69"/>
      <c r="Q69"/>
    </row>
    <row r="70" spans="16:17" x14ac:dyDescent="0.3">
      <c r="P70"/>
      <c r="Q70"/>
    </row>
    <row r="71" spans="16:17" x14ac:dyDescent="0.3">
      <c r="P71"/>
      <c r="Q71"/>
    </row>
    <row r="72" spans="16:17" x14ac:dyDescent="0.3">
      <c r="P72"/>
      <c r="Q72"/>
    </row>
    <row r="73" spans="16:17" x14ac:dyDescent="0.3">
      <c r="P73"/>
      <c r="Q73"/>
    </row>
    <row r="74" spans="16:17" x14ac:dyDescent="0.3">
      <c r="P74"/>
      <c r="Q74"/>
    </row>
    <row r="75" spans="16:17" x14ac:dyDescent="0.3">
      <c r="P75"/>
      <c r="Q75"/>
    </row>
    <row r="76" spans="16:17" x14ac:dyDescent="0.3">
      <c r="P76"/>
      <c r="Q76"/>
    </row>
    <row r="77" spans="16:17" x14ac:dyDescent="0.3">
      <c r="P77"/>
      <c r="Q77"/>
    </row>
    <row r="78" spans="16:17" x14ac:dyDescent="0.3">
      <c r="P78"/>
      <c r="Q78"/>
    </row>
    <row r="79" spans="16:17" x14ac:dyDescent="0.3">
      <c r="P79"/>
      <c r="Q79"/>
    </row>
    <row r="80" spans="16:17" x14ac:dyDescent="0.3">
      <c r="P80"/>
      <c r="Q80"/>
    </row>
    <row r="81" spans="16:17" x14ac:dyDescent="0.3">
      <c r="P81"/>
      <c r="Q81"/>
    </row>
    <row r="82" spans="16:17" x14ac:dyDescent="0.3">
      <c r="P82"/>
      <c r="Q82"/>
    </row>
    <row r="83" spans="16:17" x14ac:dyDescent="0.3">
      <c r="P83"/>
      <c r="Q83"/>
    </row>
    <row r="84" spans="16:17" x14ac:dyDescent="0.3">
      <c r="P84"/>
      <c r="Q84"/>
    </row>
    <row r="85" spans="16:17" x14ac:dyDescent="0.3">
      <c r="P85"/>
      <c r="Q85"/>
    </row>
    <row r="86" spans="16:17" x14ac:dyDescent="0.3">
      <c r="P86"/>
      <c r="Q86"/>
    </row>
    <row r="87" spans="16:17" x14ac:dyDescent="0.3">
      <c r="P87"/>
      <c r="Q87"/>
    </row>
    <row r="88" spans="16:17" x14ac:dyDescent="0.3">
      <c r="P88"/>
      <c r="Q88"/>
    </row>
    <row r="89" spans="16:17" x14ac:dyDescent="0.3">
      <c r="P89"/>
      <c r="Q89"/>
    </row>
    <row r="90" spans="16:17" x14ac:dyDescent="0.3">
      <c r="P90"/>
      <c r="Q90"/>
    </row>
    <row r="91" spans="16:17" x14ac:dyDescent="0.3">
      <c r="P91"/>
      <c r="Q91"/>
    </row>
    <row r="92" spans="16:17" x14ac:dyDescent="0.3">
      <c r="P92"/>
      <c r="Q92"/>
    </row>
    <row r="93" spans="16:17" x14ac:dyDescent="0.3">
      <c r="P93"/>
      <c r="Q93"/>
    </row>
    <row r="94" spans="16:17" x14ac:dyDescent="0.3">
      <c r="P94"/>
      <c r="Q94"/>
    </row>
    <row r="95" spans="16:17" x14ac:dyDescent="0.3">
      <c r="P95"/>
      <c r="Q95"/>
    </row>
    <row r="96" spans="16:17" x14ac:dyDescent="0.3">
      <c r="P96"/>
      <c r="Q96"/>
    </row>
    <row r="97" spans="16:17" x14ac:dyDescent="0.3">
      <c r="P97"/>
      <c r="Q97"/>
    </row>
    <row r="98" spans="16:17" x14ac:dyDescent="0.3">
      <c r="P98"/>
      <c r="Q98"/>
    </row>
    <row r="99" spans="16:17" x14ac:dyDescent="0.3">
      <c r="P99"/>
      <c r="Q99"/>
    </row>
    <row r="100" spans="16:17" x14ac:dyDescent="0.3">
      <c r="P100"/>
      <c r="Q100"/>
    </row>
    <row r="101" spans="16:17" x14ac:dyDescent="0.3">
      <c r="P101"/>
      <c r="Q101"/>
    </row>
    <row r="102" spans="16:17" x14ac:dyDescent="0.3">
      <c r="P102"/>
      <c r="Q102"/>
    </row>
    <row r="103" spans="16:17" x14ac:dyDescent="0.3">
      <c r="P103"/>
      <c r="Q103"/>
    </row>
    <row r="104" spans="16:17" x14ac:dyDescent="0.3">
      <c r="P104"/>
      <c r="Q104"/>
    </row>
    <row r="105" spans="16:17" x14ac:dyDescent="0.3">
      <c r="P105"/>
      <c r="Q105"/>
    </row>
    <row r="106" spans="16:17" x14ac:dyDescent="0.3">
      <c r="P106"/>
      <c r="Q106"/>
    </row>
    <row r="107" spans="16:17" x14ac:dyDescent="0.3">
      <c r="P107"/>
      <c r="Q107"/>
    </row>
    <row r="108" spans="16:17" x14ac:dyDescent="0.3">
      <c r="P108"/>
      <c r="Q108"/>
    </row>
    <row r="109" spans="16:17" x14ac:dyDescent="0.3">
      <c r="P109"/>
      <c r="Q109"/>
    </row>
    <row r="110" spans="16:17" x14ac:dyDescent="0.3">
      <c r="P110"/>
      <c r="Q110"/>
    </row>
    <row r="111" spans="16:17" x14ac:dyDescent="0.3">
      <c r="P111"/>
      <c r="Q111"/>
    </row>
    <row r="112" spans="16:17" x14ac:dyDescent="0.3">
      <c r="P112"/>
      <c r="Q112"/>
    </row>
    <row r="113" spans="16:17" x14ac:dyDescent="0.3">
      <c r="P113"/>
      <c r="Q113"/>
    </row>
    <row r="114" spans="16:17" x14ac:dyDescent="0.3">
      <c r="P114"/>
      <c r="Q114"/>
    </row>
    <row r="115" spans="16:17" x14ac:dyDescent="0.3">
      <c r="P115"/>
      <c r="Q115"/>
    </row>
    <row r="116" spans="16:17" x14ac:dyDescent="0.3">
      <c r="P116"/>
      <c r="Q116"/>
    </row>
    <row r="117" spans="16:17" x14ac:dyDescent="0.3">
      <c r="P117"/>
      <c r="Q117"/>
    </row>
    <row r="118" spans="16:17" x14ac:dyDescent="0.3">
      <c r="P118"/>
      <c r="Q118"/>
    </row>
    <row r="119" spans="16:17" x14ac:dyDescent="0.3">
      <c r="P119"/>
      <c r="Q119"/>
    </row>
    <row r="120" spans="16:17" x14ac:dyDescent="0.3">
      <c r="P120"/>
      <c r="Q120"/>
    </row>
    <row r="121" spans="16:17" x14ac:dyDescent="0.3">
      <c r="P121"/>
      <c r="Q121"/>
    </row>
    <row r="122" spans="16:17" x14ac:dyDescent="0.3">
      <c r="P122"/>
      <c r="Q122"/>
    </row>
    <row r="123" spans="16:17" x14ac:dyDescent="0.3">
      <c r="P123"/>
      <c r="Q123"/>
    </row>
    <row r="124" spans="16:17" x14ac:dyDescent="0.3">
      <c r="P124"/>
      <c r="Q124"/>
    </row>
    <row r="125" spans="16:17" x14ac:dyDescent="0.3">
      <c r="P125"/>
      <c r="Q125"/>
    </row>
    <row r="126" spans="16:17" x14ac:dyDescent="0.3">
      <c r="P126"/>
      <c r="Q126"/>
    </row>
    <row r="127" spans="16:17" x14ac:dyDescent="0.3">
      <c r="P127"/>
      <c r="Q127"/>
    </row>
    <row r="128" spans="16:17" x14ac:dyDescent="0.3">
      <c r="P128"/>
      <c r="Q128"/>
    </row>
    <row r="129" spans="16:17" x14ac:dyDescent="0.3">
      <c r="P129"/>
      <c r="Q129"/>
    </row>
    <row r="130" spans="16:17" x14ac:dyDescent="0.3">
      <c r="P130"/>
      <c r="Q130"/>
    </row>
    <row r="131" spans="16:17" x14ac:dyDescent="0.3">
      <c r="P131"/>
      <c r="Q131"/>
    </row>
    <row r="132" spans="16:17" x14ac:dyDescent="0.3">
      <c r="P132"/>
      <c r="Q132"/>
    </row>
    <row r="133" spans="16:17" x14ac:dyDescent="0.3">
      <c r="P133"/>
      <c r="Q133"/>
    </row>
    <row r="134" spans="16:17" x14ac:dyDescent="0.3">
      <c r="P134"/>
      <c r="Q134"/>
    </row>
    <row r="135" spans="16:17" x14ac:dyDescent="0.3">
      <c r="P135"/>
      <c r="Q135"/>
    </row>
    <row r="136" spans="16:17" x14ac:dyDescent="0.3">
      <c r="P136"/>
      <c r="Q136"/>
    </row>
    <row r="137" spans="16:17" x14ac:dyDescent="0.3">
      <c r="P137"/>
      <c r="Q137"/>
    </row>
    <row r="138" spans="16:17" x14ac:dyDescent="0.3">
      <c r="P138"/>
      <c r="Q138"/>
    </row>
    <row r="139" spans="16:17" x14ac:dyDescent="0.3">
      <c r="P139"/>
      <c r="Q139"/>
    </row>
    <row r="140" spans="16:17" x14ac:dyDescent="0.3">
      <c r="P140"/>
      <c r="Q140"/>
    </row>
    <row r="141" spans="16:17" x14ac:dyDescent="0.3">
      <c r="P141"/>
      <c r="Q141"/>
    </row>
    <row r="142" spans="16:17" x14ac:dyDescent="0.3">
      <c r="P142"/>
      <c r="Q142"/>
    </row>
    <row r="143" spans="16:17" x14ac:dyDescent="0.3">
      <c r="P143"/>
      <c r="Q143"/>
    </row>
    <row r="144" spans="16:17" x14ac:dyDescent="0.3">
      <c r="P144"/>
      <c r="Q144"/>
    </row>
    <row r="145" spans="16:17" x14ac:dyDescent="0.3">
      <c r="P145"/>
      <c r="Q145"/>
    </row>
    <row r="146" spans="16:17" x14ac:dyDescent="0.3">
      <c r="P146"/>
      <c r="Q146"/>
    </row>
    <row r="147" spans="16:17" x14ac:dyDescent="0.3">
      <c r="P147"/>
      <c r="Q147"/>
    </row>
    <row r="148" spans="16:17" x14ac:dyDescent="0.3">
      <c r="P148"/>
      <c r="Q148"/>
    </row>
    <row r="149" spans="16:17" x14ac:dyDescent="0.3">
      <c r="P149"/>
      <c r="Q149"/>
    </row>
    <row r="150" spans="16:17" x14ac:dyDescent="0.3">
      <c r="P150"/>
      <c r="Q150"/>
    </row>
    <row r="151" spans="16:17" x14ac:dyDescent="0.3">
      <c r="P151"/>
      <c r="Q151"/>
    </row>
    <row r="152" spans="16:17" x14ac:dyDescent="0.3">
      <c r="P152"/>
      <c r="Q152"/>
    </row>
    <row r="153" spans="16:17" x14ac:dyDescent="0.3">
      <c r="P153"/>
      <c r="Q153"/>
    </row>
    <row r="154" spans="16:17" x14ac:dyDescent="0.3">
      <c r="P154"/>
      <c r="Q154"/>
    </row>
    <row r="155" spans="16:17" x14ac:dyDescent="0.3">
      <c r="P155"/>
      <c r="Q155"/>
    </row>
    <row r="156" spans="16:17" x14ac:dyDescent="0.3">
      <c r="P156"/>
      <c r="Q156"/>
    </row>
    <row r="157" spans="16:17" x14ac:dyDescent="0.3">
      <c r="P157"/>
      <c r="Q157"/>
    </row>
    <row r="158" spans="16:17" x14ac:dyDescent="0.3">
      <c r="P158"/>
      <c r="Q158"/>
    </row>
    <row r="159" spans="16:17" x14ac:dyDescent="0.3">
      <c r="P159"/>
      <c r="Q159"/>
    </row>
    <row r="160" spans="16:17" x14ac:dyDescent="0.3">
      <c r="P160"/>
      <c r="Q160"/>
    </row>
    <row r="161" spans="16:17" x14ac:dyDescent="0.3">
      <c r="P161"/>
      <c r="Q161"/>
    </row>
    <row r="162" spans="16:17" x14ac:dyDescent="0.3">
      <c r="P162"/>
      <c r="Q162"/>
    </row>
    <row r="163" spans="16:17" x14ac:dyDescent="0.3">
      <c r="P163"/>
      <c r="Q163"/>
    </row>
    <row r="164" spans="16:17" x14ac:dyDescent="0.3">
      <c r="P164"/>
      <c r="Q164"/>
    </row>
    <row r="165" spans="16:17" x14ac:dyDescent="0.3">
      <c r="P165"/>
      <c r="Q165"/>
    </row>
    <row r="166" spans="16:17" x14ac:dyDescent="0.3">
      <c r="P166"/>
      <c r="Q166"/>
    </row>
    <row r="167" spans="16:17" x14ac:dyDescent="0.3">
      <c r="P167"/>
      <c r="Q167"/>
    </row>
    <row r="168" spans="16:17" x14ac:dyDescent="0.3">
      <c r="P168"/>
      <c r="Q168"/>
    </row>
    <row r="169" spans="16:17" x14ac:dyDescent="0.3">
      <c r="P169"/>
      <c r="Q169"/>
    </row>
    <row r="170" spans="16:17" x14ac:dyDescent="0.3">
      <c r="P170"/>
      <c r="Q170"/>
    </row>
    <row r="171" spans="16:17" x14ac:dyDescent="0.3">
      <c r="P171"/>
      <c r="Q171"/>
    </row>
    <row r="172" spans="16:17" x14ac:dyDescent="0.3">
      <c r="P172"/>
      <c r="Q172"/>
    </row>
    <row r="173" spans="16:17" x14ac:dyDescent="0.3">
      <c r="P173"/>
      <c r="Q173"/>
    </row>
    <row r="174" spans="16:17" x14ac:dyDescent="0.3">
      <c r="P174"/>
      <c r="Q174"/>
    </row>
    <row r="175" spans="16:17" x14ac:dyDescent="0.3">
      <c r="P175"/>
      <c r="Q175"/>
    </row>
    <row r="176" spans="16:17" x14ac:dyDescent="0.3">
      <c r="P176"/>
      <c r="Q176"/>
    </row>
    <row r="177" spans="16:17" x14ac:dyDescent="0.3">
      <c r="P177"/>
      <c r="Q177"/>
    </row>
    <row r="178" spans="16:17" x14ac:dyDescent="0.3">
      <c r="P178"/>
      <c r="Q178"/>
    </row>
    <row r="179" spans="16:17" x14ac:dyDescent="0.3">
      <c r="P179"/>
      <c r="Q179"/>
    </row>
    <row r="180" spans="16:17" x14ac:dyDescent="0.3">
      <c r="P180"/>
      <c r="Q180"/>
    </row>
    <row r="181" spans="16:17" x14ac:dyDescent="0.3">
      <c r="P181"/>
      <c r="Q181"/>
    </row>
    <row r="182" spans="16:17" x14ac:dyDescent="0.3">
      <c r="P182"/>
      <c r="Q182"/>
    </row>
    <row r="183" spans="16:17" x14ac:dyDescent="0.3">
      <c r="P183"/>
      <c r="Q183"/>
    </row>
    <row r="184" spans="16:17" x14ac:dyDescent="0.3">
      <c r="P184"/>
      <c r="Q184"/>
    </row>
    <row r="185" spans="16:17" x14ac:dyDescent="0.3">
      <c r="P185"/>
      <c r="Q185"/>
    </row>
    <row r="186" spans="16:17" x14ac:dyDescent="0.3">
      <c r="P186"/>
      <c r="Q186"/>
    </row>
    <row r="187" spans="16:17" x14ac:dyDescent="0.3">
      <c r="P187"/>
      <c r="Q187"/>
    </row>
    <row r="188" spans="16:17" x14ac:dyDesce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r="191" spans="16:17" x14ac:dyDescent="0.3">
      <c r="P191"/>
      <c r="Q191"/>
    </row>
    <row r="192" spans="16:17" x14ac:dyDescent="0.3">
      <c r="P192"/>
      <c r="Q192"/>
    </row>
    <row r="193" spans="16:17" x14ac:dyDescent="0.3">
      <c r="P193"/>
      <c r="Q193"/>
    </row>
    <row r="194" spans="16:17" x14ac:dyDescent="0.3">
      <c r="P194"/>
      <c r="Q194"/>
    </row>
    <row r="195" spans="16:17" x14ac:dyDescent="0.3">
      <c r="P195"/>
      <c r="Q195"/>
    </row>
    <row r="196" spans="16:17" x14ac:dyDescent="0.3">
      <c r="P196"/>
      <c r="Q196"/>
    </row>
    <row r="197" spans="16:17" x14ac:dyDescent="0.3">
      <c r="P197"/>
      <c r="Q197"/>
    </row>
    <row r="198" spans="16:17" x14ac:dyDescent="0.3">
      <c r="P198"/>
      <c r="Q198"/>
    </row>
    <row r="199" spans="16:17" x14ac:dyDescent="0.3">
      <c r="P199"/>
      <c r="Q199"/>
    </row>
    <row r="200" spans="16:17" x14ac:dyDescent="0.3">
      <c r="P200"/>
      <c r="Q200"/>
    </row>
    <row r="201" spans="16:17" x14ac:dyDescent="0.3">
      <c r="P201"/>
      <c r="Q201"/>
    </row>
    <row r="202" spans="16:17" x14ac:dyDescent="0.3">
      <c r="P202"/>
      <c r="Q202"/>
    </row>
    <row r="203" spans="16:17" x14ac:dyDescent="0.3">
      <c r="P203"/>
      <c r="Q203"/>
    </row>
    <row r="204" spans="16:17" x14ac:dyDescent="0.3">
      <c r="P204"/>
      <c r="Q204"/>
    </row>
    <row r="205" spans="16:17" x14ac:dyDescent="0.3">
      <c r="P205"/>
      <c r="Q205"/>
    </row>
    <row r="206" spans="16:17" x14ac:dyDescent="0.3">
      <c r="P206"/>
      <c r="Q206"/>
    </row>
    <row r="207" spans="16:17" x14ac:dyDescent="0.3">
      <c r="P207"/>
      <c r="Q207"/>
    </row>
    <row r="208" spans="16:17" x14ac:dyDescent="0.3">
      <c r="P208"/>
      <c r="Q208"/>
    </row>
    <row r="209" spans="16:17" x14ac:dyDescent="0.3">
      <c r="P209"/>
      <c r="Q209"/>
    </row>
    <row r="210" spans="16:17" x14ac:dyDescent="0.3">
      <c r="P210"/>
      <c r="Q210"/>
    </row>
    <row r="211" spans="16:17" x14ac:dyDescent="0.3">
      <c r="P211"/>
      <c r="Q211"/>
    </row>
    <row r="212" spans="16:17" x14ac:dyDescent="0.3">
      <c r="P212"/>
      <c r="Q212"/>
    </row>
    <row r="213" spans="16:17" x14ac:dyDescent="0.3">
      <c r="P213"/>
      <c r="Q213"/>
    </row>
    <row r="214" spans="16:17" x14ac:dyDescent="0.3">
      <c r="P214"/>
      <c r="Q214"/>
    </row>
    <row r="215" spans="16:17" x14ac:dyDescent="0.3">
      <c r="P215"/>
      <c r="Q215"/>
    </row>
    <row r="216" spans="16:17" x14ac:dyDescent="0.3">
      <c r="P216"/>
      <c r="Q216"/>
    </row>
    <row r="217" spans="16:17" x14ac:dyDescent="0.3">
      <c r="P217"/>
      <c r="Q217"/>
    </row>
    <row r="218" spans="16:17" x14ac:dyDescent="0.3">
      <c r="P218"/>
      <c r="Q218"/>
    </row>
    <row r="219" spans="16:17" x14ac:dyDescent="0.3">
      <c r="P219"/>
      <c r="Q219"/>
    </row>
    <row r="220" spans="16:17" x14ac:dyDescent="0.3">
      <c r="P220"/>
      <c r="Q220"/>
    </row>
    <row r="221" spans="16:17" x14ac:dyDescent="0.3">
      <c r="P221"/>
      <c r="Q221"/>
    </row>
    <row r="222" spans="16:17" x14ac:dyDescent="0.3">
      <c r="P222"/>
      <c r="Q222"/>
    </row>
    <row r="223" spans="16:17" x14ac:dyDescent="0.3">
      <c r="P223"/>
      <c r="Q223"/>
    </row>
    <row r="224" spans="16:17" x14ac:dyDescent="0.3">
      <c r="P224"/>
      <c r="Q224"/>
    </row>
    <row r="225" spans="16:17" x14ac:dyDescent="0.3">
      <c r="P225"/>
      <c r="Q225"/>
    </row>
    <row r="226" spans="16:17" x14ac:dyDescent="0.3">
      <c r="P226"/>
      <c r="Q226"/>
    </row>
    <row r="227" spans="16:17" x14ac:dyDescent="0.3">
      <c r="P227"/>
      <c r="Q227"/>
    </row>
    <row r="228" spans="16:17" x14ac:dyDescent="0.3">
      <c r="P228"/>
      <c r="Q228"/>
    </row>
    <row r="229" spans="16:17" x14ac:dyDescent="0.3">
      <c r="P229"/>
      <c r="Q229"/>
    </row>
    <row r="230" spans="16:17" x14ac:dyDescent="0.3">
      <c r="P230"/>
      <c r="Q230"/>
    </row>
    <row r="231" spans="16:17" x14ac:dyDescent="0.3">
      <c r="P231"/>
      <c r="Q231"/>
    </row>
    <row r="232" spans="16:17" x14ac:dyDescent="0.3">
      <c r="P232"/>
      <c r="Q232"/>
    </row>
    <row r="233" spans="16:17" x14ac:dyDescent="0.3">
      <c r="P233"/>
      <c r="Q233"/>
    </row>
    <row r="234" spans="16:17" x14ac:dyDescent="0.3">
      <c r="P234"/>
      <c r="Q234"/>
    </row>
    <row r="235" spans="16:17" x14ac:dyDescent="0.3">
      <c r="P235"/>
      <c r="Q235"/>
    </row>
    <row r="236" spans="16:17" x14ac:dyDescent="0.3">
      <c r="P236"/>
      <c r="Q236"/>
    </row>
    <row r="237" spans="16:17" x14ac:dyDescent="0.3">
      <c r="P237"/>
      <c r="Q237"/>
    </row>
    <row r="238" spans="16:17" x14ac:dyDescent="0.3">
      <c r="P238"/>
      <c r="Q238"/>
    </row>
    <row r="239" spans="16:17" x14ac:dyDescent="0.3">
      <c r="P239"/>
      <c r="Q239"/>
    </row>
    <row r="240" spans="16:17" x14ac:dyDescent="0.3">
      <c r="P240"/>
      <c r="Q240"/>
    </row>
    <row r="241" spans="16:17" x14ac:dyDescent="0.3">
      <c r="P241"/>
      <c r="Q241"/>
    </row>
    <row r="242" spans="16:17" x14ac:dyDescent="0.3">
      <c r="P242"/>
      <c r="Q242"/>
    </row>
    <row r="243" spans="16:17" x14ac:dyDescent="0.3">
      <c r="P243"/>
      <c r="Q243"/>
    </row>
    <row r="244" spans="16:17" x14ac:dyDescent="0.3">
      <c r="P244"/>
      <c r="Q244"/>
    </row>
    <row r="245" spans="16:17" x14ac:dyDescent="0.3">
      <c r="P245"/>
      <c r="Q245"/>
    </row>
    <row r="246" spans="16:17" x14ac:dyDescent="0.3">
      <c r="P246"/>
      <c r="Q246"/>
    </row>
    <row r="247" spans="16:17" x14ac:dyDescent="0.3">
      <c r="P247"/>
      <c r="Q247"/>
    </row>
    <row r="248" spans="16:17" x14ac:dyDescent="0.3">
      <c r="P248"/>
      <c r="Q248"/>
    </row>
    <row r="249" spans="16:17" x14ac:dyDescent="0.3">
      <c r="P249"/>
      <c r="Q249"/>
    </row>
    <row r="250" spans="16:17" x14ac:dyDescent="0.3">
      <c r="P250"/>
      <c r="Q250"/>
    </row>
    <row r="251" spans="16:17" x14ac:dyDescent="0.3">
      <c r="P251"/>
      <c r="Q251"/>
    </row>
    <row r="252" spans="16:17" x14ac:dyDescent="0.3">
      <c r="P252"/>
      <c r="Q252"/>
    </row>
    <row r="253" spans="16:17" x14ac:dyDescent="0.3">
      <c r="P253"/>
      <c r="Q253"/>
    </row>
    <row r="254" spans="16:17" x14ac:dyDescent="0.3">
      <c r="P254"/>
      <c r="Q254"/>
    </row>
    <row r="255" spans="16:17" x14ac:dyDescent="0.3">
      <c r="P255"/>
      <c r="Q255"/>
    </row>
    <row r="256" spans="16:17" x14ac:dyDescent="0.3">
      <c r="P256"/>
      <c r="Q256"/>
    </row>
    <row r="257" spans="16:17" x14ac:dyDescent="0.3">
      <c r="P257"/>
      <c r="Q257"/>
    </row>
    <row r="258" spans="16:17" x14ac:dyDescent="0.3">
      <c r="P258"/>
      <c r="Q258"/>
    </row>
    <row r="259" spans="16:17" x14ac:dyDescent="0.3">
      <c r="P259"/>
      <c r="Q259"/>
    </row>
    <row r="260" spans="16:17" x14ac:dyDescent="0.3">
      <c r="P260"/>
      <c r="Q260"/>
    </row>
    <row r="261" spans="16:17" x14ac:dyDescent="0.3">
      <c r="P261"/>
      <c r="Q261"/>
    </row>
    <row r="262" spans="16:17" x14ac:dyDescent="0.3">
      <c r="P262"/>
      <c r="Q262"/>
    </row>
    <row r="263" spans="16:17" x14ac:dyDescent="0.3">
      <c r="P263"/>
      <c r="Q263"/>
    </row>
    <row r="264" spans="16:17" x14ac:dyDescent="0.3">
      <c r="P264"/>
      <c r="Q264"/>
    </row>
    <row r="265" spans="16:17" x14ac:dyDescent="0.3">
      <c r="P265"/>
      <c r="Q265"/>
    </row>
    <row r="266" spans="16:17" x14ac:dyDescent="0.3">
      <c r="P266"/>
      <c r="Q266"/>
    </row>
    <row r="267" spans="16:17" x14ac:dyDescent="0.3">
      <c r="P267"/>
      <c r="Q267"/>
    </row>
    <row r="268" spans="16:17" x14ac:dyDescent="0.3">
      <c r="P268"/>
      <c r="Q268"/>
    </row>
    <row r="269" spans="16:17" x14ac:dyDescent="0.3">
      <c r="P269"/>
      <c r="Q269"/>
    </row>
    <row r="270" spans="16:17" x14ac:dyDescent="0.3">
      <c r="P270"/>
      <c r="Q270"/>
    </row>
    <row r="271" spans="16:17" x14ac:dyDescent="0.3">
      <c r="P271"/>
      <c r="Q271"/>
    </row>
    <row r="272" spans="16:17" x14ac:dyDescent="0.3">
      <c r="P272"/>
      <c r="Q272"/>
    </row>
    <row r="273" spans="16:17" x14ac:dyDescent="0.3">
      <c r="P273"/>
      <c r="Q273"/>
    </row>
    <row r="274" spans="16:17" x14ac:dyDescent="0.3">
      <c r="P274"/>
      <c r="Q274"/>
    </row>
    <row r="275" spans="16:17" x14ac:dyDescent="0.3">
      <c r="P275"/>
      <c r="Q275"/>
    </row>
    <row r="276" spans="16:17" x14ac:dyDescent="0.3">
      <c r="P276"/>
      <c r="Q276"/>
    </row>
    <row r="277" spans="16:17" x14ac:dyDescent="0.3">
      <c r="P277"/>
      <c r="Q277"/>
    </row>
    <row r="278" spans="16:17" x14ac:dyDescent="0.3">
      <c r="P278"/>
      <c r="Q278"/>
    </row>
    <row r="279" spans="16:17" x14ac:dyDescent="0.3">
      <c r="P279"/>
      <c r="Q279"/>
    </row>
    <row r="280" spans="16:17" x14ac:dyDescent="0.3">
      <c r="P280"/>
      <c r="Q280"/>
    </row>
    <row r="281" spans="16:17" x14ac:dyDescent="0.3">
      <c r="P281"/>
      <c r="Q281"/>
    </row>
    <row r="282" spans="16:17" x14ac:dyDescent="0.3">
      <c r="P282"/>
      <c r="Q282"/>
    </row>
    <row r="283" spans="16:17" x14ac:dyDescent="0.3">
      <c r="P283"/>
      <c r="Q283"/>
    </row>
    <row r="284" spans="16:17" x14ac:dyDescent="0.3">
      <c r="P284"/>
      <c r="Q284"/>
    </row>
    <row r="285" spans="16:17" x14ac:dyDescent="0.3">
      <c r="P285"/>
      <c r="Q285"/>
    </row>
    <row r="286" spans="16:17" x14ac:dyDescent="0.3">
      <c r="P286"/>
      <c r="Q286"/>
    </row>
    <row r="287" spans="16:17" x14ac:dyDescent="0.3">
      <c r="P287"/>
      <c r="Q287"/>
    </row>
    <row r="288" spans="16:17" x14ac:dyDescent="0.3">
      <c r="P288"/>
      <c r="Q288"/>
    </row>
    <row r="289" spans="16:17" x14ac:dyDescent="0.3">
      <c r="P289"/>
      <c r="Q289"/>
    </row>
    <row r="290" spans="16:17" x14ac:dyDescent="0.3">
      <c r="P290"/>
      <c r="Q290"/>
    </row>
    <row r="291" spans="16:17" x14ac:dyDescent="0.3">
      <c r="P291"/>
      <c r="Q291"/>
    </row>
    <row r="292" spans="16:17" x14ac:dyDescent="0.3">
      <c r="P292"/>
      <c r="Q292"/>
    </row>
    <row r="293" spans="16:17" x14ac:dyDescent="0.3">
      <c r="P293"/>
      <c r="Q293"/>
    </row>
    <row r="294" spans="16:17" x14ac:dyDescent="0.3">
      <c r="P294"/>
      <c r="Q294"/>
    </row>
    <row r="295" spans="16:17" x14ac:dyDescent="0.3">
      <c r="P295"/>
      <c r="Q295"/>
    </row>
    <row r="296" spans="16:17" x14ac:dyDescent="0.3">
      <c r="P296"/>
      <c r="Q296"/>
    </row>
    <row r="297" spans="16:17" x14ac:dyDescent="0.3">
      <c r="P297"/>
      <c r="Q297"/>
    </row>
    <row r="298" spans="16:17" x14ac:dyDescent="0.3">
      <c r="P298"/>
      <c r="Q298"/>
    </row>
    <row r="299" spans="16:17" x14ac:dyDescent="0.3">
      <c r="P299"/>
      <c r="Q299"/>
    </row>
    <row r="300" spans="16:17" x14ac:dyDescent="0.3">
      <c r="P300"/>
      <c r="Q300"/>
    </row>
    <row r="301" spans="16:17" x14ac:dyDescent="0.3">
      <c r="P301"/>
      <c r="Q301"/>
    </row>
    <row r="302" spans="16:17" x14ac:dyDescent="0.3">
      <c r="P302"/>
      <c r="Q302"/>
    </row>
    <row r="303" spans="16:17" x14ac:dyDescent="0.3">
      <c r="P303"/>
      <c r="Q303"/>
    </row>
    <row r="304" spans="16:17" x14ac:dyDescent="0.3">
      <c r="P304"/>
      <c r="Q304"/>
    </row>
    <row r="305" spans="16:17" x14ac:dyDescent="0.3">
      <c r="P305"/>
      <c r="Q305"/>
    </row>
    <row r="306" spans="16:17" x14ac:dyDescent="0.3">
      <c r="P306"/>
      <c r="Q306"/>
    </row>
    <row r="307" spans="16:17" x14ac:dyDescent="0.3">
      <c r="P307"/>
      <c r="Q307"/>
    </row>
    <row r="308" spans="16:17" x14ac:dyDescent="0.3">
      <c r="P308"/>
      <c r="Q308"/>
    </row>
    <row r="309" spans="16:17" x14ac:dyDescent="0.3">
      <c r="P309"/>
      <c r="Q309"/>
    </row>
    <row r="310" spans="16:17" x14ac:dyDescent="0.3">
      <c r="P310"/>
      <c r="Q310"/>
    </row>
    <row r="311" spans="16:17" x14ac:dyDescent="0.3">
      <c r="P311"/>
      <c r="Q311"/>
    </row>
    <row r="312" spans="16:17" x14ac:dyDescent="0.3">
      <c r="P312"/>
      <c r="Q312"/>
    </row>
    <row r="313" spans="16:17" x14ac:dyDescent="0.3">
      <c r="P313"/>
      <c r="Q313"/>
    </row>
    <row r="314" spans="16:17" x14ac:dyDescent="0.3">
      <c r="P314"/>
      <c r="Q314"/>
    </row>
    <row r="315" spans="16:17" x14ac:dyDescent="0.3">
      <c r="P315"/>
      <c r="Q315"/>
    </row>
    <row r="316" spans="16:17" x14ac:dyDescent="0.3">
      <c r="P316"/>
      <c r="Q316"/>
    </row>
    <row r="317" spans="16:17" x14ac:dyDescent="0.3">
      <c r="P317"/>
      <c r="Q317"/>
    </row>
    <row r="318" spans="16:17" x14ac:dyDescent="0.3">
      <c r="P318"/>
      <c r="Q318"/>
    </row>
    <row r="319" spans="16:17" x14ac:dyDescent="0.3">
      <c r="P319"/>
      <c r="Q319"/>
    </row>
    <row r="320" spans="16:17" x14ac:dyDescent="0.3">
      <c r="P320"/>
      <c r="Q320"/>
    </row>
    <row r="321" spans="16:17" x14ac:dyDescent="0.3">
      <c r="P321"/>
      <c r="Q321"/>
    </row>
    <row r="322" spans="16:17" x14ac:dyDescent="0.3">
      <c r="P322"/>
      <c r="Q322"/>
    </row>
    <row r="323" spans="16:17" x14ac:dyDescent="0.3">
      <c r="P323"/>
      <c r="Q323"/>
    </row>
    <row r="324" spans="16:17" x14ac:dyDescent="0.3">
      <c r="P324"/>
      <c r="Q324"/>
    </row>
    <row r="325" spans="16:17" x14ac:dyDescent="0.3">
      <c r="P325"/>
      <c r="Q325"/>
    </row>
    <row r="326" spans="16:17" x14ac:dyDescent="0.3">
      <c r="P326"/>
      <c r="Q326"/>
    </row>
    <row r="327" spans="16:17" x14ac:dyDescent="0.3">
      <c r="P327"/>
      <c r="Q327"/>
    </row>
    <row r="328" spans="16:17" x14ac:dyDescent="0.3">
      <c r="P328"/>
      <c r="Q328"/>
    </row>
    <row r="329" spans="16:17" x14ac:dyDescent="0.3">
      <c r="P329"/>
      <c r="Q329"/>
    </row>
    <row r="330" spans="16:17" x14ac:dyDescent="0.3">
      <c r="P330"/>
      <c r="Q330"/>
    </row>
    <row r="331" spans="16:17" x14ac:dyDescent="0.3">
      <c r="P331"/>
      <c r="Q331"/>
    </row>
    <row r="332" spans="16:17" x14ac:dyDescent="0.3">
      <c r="P332"/>
      <c r="Q332"/>
    </row>
    <row r="333" spans="16:17" x14ac:dyDescent="0.3">
      <c r="P333"/>
      <c r="Q333"/>
    </row>
    <row r="334" spans="16:17" x14ac:dyDescent="0.3">
      <c r="P334"/>
      <c r="Q334"/>
    </row>
    <row r="335" spans="16:17" x14ac:dyDescent="0.3">
      <c r="P335"/>
      <c r="Q335"/>
    </row>
    <row r="336" spans="16:17" x14ac:dyDescent="0.3">
      <c r="P336"/>
      <c r="Q336"/>
    </row>
    <row r="337" spans="16:17" x14ac:dyDescent="0.3">
      <c r="P337"/>
      <c r="Q337"/>
    </row>
    <row r="338" spans="16:17" x14ac:dyDescent="0.3">
      <c r="P338"/>
      <c r="Q338"/>
    </row>
    <row r="339" spans="16:17" x14ac:dyDescent="0.3">
      <c r="P339"/>
      <c r="Q339"/>
    </row>
    <row r="340" spans="16:17" x14ac:dyDescent="0.3">
      <c r="P340"/>
      <c r="Q340"/>
    </row>
    <row r="341" spans="16:17" x14ac:dyDescent="0.3">
      <c r="P341"/>
      <c r="Q341"/>
    </row>
    <row r="342" spans="16:17" x14ac:dyDescent="0.3">
      <c r="P342"/>
      <c r="Q342"/>
    </row>
    <row r="343" spans="16:17" x14ac:dyDescent="0.3">
      <c r="P343"/>
      <c r="Q343"/>
    </row>
    <row r="344" spans="16:17" x14ac:dyDescent="0.3">
      <c r="P344"/>
      <c r="Q344"/>
    </row>
    <row r="345" spans="16:17" x14ac:dyDescent="0.3">
      <c r="P345"/>
      <c r="Q345"/>
    </row>
    <row r="346" spans="16:17" x14ac:dyDescent="0.3">
      <c r="P346"/>
      <c r="Q346"/>
    </row>
    <row r="347" spans="16:17" x14ac:dyDescent="0.3">
      <c r="P347"/>
      <c r="Q347"/>
    </row>
    <row r="348" spans="16:17" x14ac:dyDescent="0.3">
      <c r="P348"/>
      <c r="Q348"/>
    </row>
    <row r="349" spans="16:17" x14ac:dyDescent="0.3">
      <c r="P349"/>
      <c r="Q349"/>
    </row>
    <row r="350" spans="16:17" x14ac:dyDescent="0.3">
      <c r="P350"/>
      <c r="Q350"/>
    </row>
    <row r="351" spans="16:17" x14ac:dyDescent="0.3">
      <c r="P351"/>
      <c r="Q351"/>
    </row>
    <row r="352" spans="16:17" x14ac:dyDescent="0.3">
      <c r="P352"/>
      <c r="Q352"/>
    </row>
  </sheetData>
  <mergeCells count="9">
    <mergeCell ref="N23:O23"/>
    <mergeCell ref="N37:O37"/>
    <mergeCell ref="K47:L47"/>
    <mergeCell ref="B1:O1"/>
    <mergeCell ref="B3:G3"/>
    <mergeCell ref="K3:O3"/>
    <mergeCell ref="B12:C12"/>
    <mergeCell ref="K21:K22"/>
    <mergeCell ref="L21:L22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A873-B50E-440F-8DC4-BF2D68894119}">
  <dimension ref="B1:AN352"/>
  <sheetViews>
    <sheetView zoomScaleNormal="100" workbookViewId="0">
      <selection activeCell="B29" sqref="B29"/>
    </sheetView>
  </sheetViews>
  <sheetFormatPr defaultColWidth="9.33203125" defaultRowHeight="14.4" x14ac:dyDescent="0.3"/>
  <cols>
    <col min="1" max="1" width="1.6640625" customWidth="1"/>
    <col min="2" max="2" width="35.6640625" bestFit="1" customWidth="1"/>
    <col min="3" max="3" width="15.44140625" customWidth="1"/>
    <col min="4" max="5" width="11.33203125" customWidth="1"/>
    <col min="6" max="6" width="32.44140625" bestFit="1" customWidth="1"/>
    <col min="7" max="7" width="10.33203125" customWidth="1"/>
    <col min="8" max="8" width="1.6640625" customWidth="1"/>
    <col min="9" max="10" width="2" customWidth="1"/>
    <col min="11" max="11" width="22.6640625" bestFit="1" customWidth="1"/>
    <col min="12" max="12" width="14.44140625" bestFit="1" customWidth="1"/>
    <col min="13" max="13" width="15.33203125" customWidth="1"/>
    <col min="14" max="14" width="22.6640625" bestFit="1" customWidth="1"/>
    <col min="15" max="15" width="14.44140625" bestFit="1" customWidth="1"/>
    <col min="16" max="16" width="11.44140625" style="1" bestFit="1" customWidth="1"/>
    <col min="17" max="17" width="18.44140625" style="1" bestFit="1" customWidth="1"/>
    <col min="18" max="18" width="18.44140625" hidden="1" customWidth="1"/>
    <col min="19" max="19" width="5.6640625" hidden="1" customWidth="1"/>
    <col min="20" max="39" width="12.33203125" bestFit="1" customWidth="1"/>
    <col min="40" max="40" width="13" bestFit="1" customWidth="1"/>
  </cols>
  <sheetData>
    <row r="1" spans="2:19" ht="28.8" x14ac:dyDescent="0.3"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15" thickBot="1" x14ac:dyDescent="0.35"/>
    <row r="3" spans="2:19" ht="18.600000000000001" thickBot="1" x14ac:dyDescent="0.4">
      <c r="B3" s="45" t="s">
        <v>80</v>
      </c>
      <c r="C3" s="45"/>
      <c r="D3" s="45"/>
      <c r="E3" s="45"/>
      <c r="F3" s="45"/>
      <c r="G3" s="45"/>
      <c r="K3" s="46" t="s">
        <v>65</v>
      </c>
      <c r="L3" s="47"/>
      <c r="M3" s="47"/>
      <c r="N3" s="47"/>
      <c r="O3" s="47"/>
      <c r="Q3"/>
    </row>
    <row r="4" spans="2:19" ht="15" thickBot="1" x14ac:dyDescent="0.35">
      <c r="C4" s="2"/>
      <c r="D4" s="2"/>
      <c r="E4" s="2"/>
      <c r="P4"/>
      <c r="Q4"/>
    </row>
    <row r="5" spans="2:19" ht="16.5" customHeight="1" thickBot="1" x14ac:dyDescent="0.35">
      <c r="B5" s="3" t="s">
        <v>1</v>
      </c>
      <c r="C5" s="4">
        <f>27</f>
        <v>27</v>
      </c>
      <c r="D5" s="5"/>
      <c r="E5" s="5" t="s">
        <v>2</v>
      </c>
      <c r="F5" s="6" t="s">
        <v>3</v>
      </c>
      <c r="G5" s="7" t="s">
        <v>4</v>
      </c>
      <c r="K5" s="6" t="s">
        <v>63</v>
      </c>
      <c r="L5" s="8" t="s">
        <v>5</v>
      </c>
      <c r="N5" s="6" t="s">
        <v>64</v>
      </c>
      <c r="O5" s="6"/>
      <c r="Q5"/>
      <c r="R5" s="9" t="s">
        <v>6</v>
      </c>
      <c r="S5" s="9" t="s">
        <v>7</v>
      </c>
    </row>
    <row r="6" spans="2:19" x14ac:dyDescent="0.3">
      <c r="B6" s="10" t="s">
        <v>8</v>
      </c>
      <c r="C6" s="11">
        <f>4</f>
        <v>4</v>
      </c>
      <c r="D6" s="5"/>
      <c r="E6" s="12"/>
      <c r="F6" s="13" t="s">
        <v>9</v>
      </c>
      <c r="G6" s="14">
        <v>2</v>
      </c>
      <c r="K6" s="15" t="s">
        <v>10</v>
      </c>
      <c r="L6" s="16">
        <f>3+2+4+13+2</f>
        <v>24</v>
      </c>
      <c r="N6" s="17" t="s">
        <v>9</v>
      </c>
      <c r="O6" s="14">
        <f>2+1</f>
        <v>3</v>
      </c>
      <c r="P6" s="18"/>
      <c r="Q6"/>
      <c r="R6" s="17" t="s">
        <v>11</v>
      </c>
      <c r="S6" s="19">
        <v>3</v>
      </c>
    </row>
    <row r="7" spans="2:19" ht="15" customHeight="1" x14ac:dyDescent="0.3">
      <c r="B7" s="10" t="s">
        <v>12</v>
      </c>
      <c r="C7" s="11">
        <f>14</f>
        <v>14</v>
      </c>
      <c r="D7" s="5"/>
      <c r="E7" s="12"/>
      <c r="F7" s="20" t="s">
        <v>11</v>
      </c>
      <c r="G7" s="14">
        <v>1</v>
      </c>
      <c r="K7" s="15" t="s">
        <v>13</v>
      </c>
      <c r="L7" s="16">
        <f>6+7+7+5</f>
        <v>25</v>
      </c>
      <c r="N7" s="21" t="s">
        <v>11</v>
      </c>
      <c r="O7" s="14">
        <f>2+2+2</f>
        <v>6</v>
      </c>
      <c r="P7" s="18"/>
      <c r="Q7"/>
      <c r="R7" s="21" t="s">
        <v>14</v>
      </c>
      <c r="S7" s="22">
        <v>6</v>
      </c>
    </row>
    <row r="8" spans="2:19" x14ac:dyDescent="0.3">
      <c r="B8" s="10" t="s">
        <v>15</v>
      </c>
      <c r="C8" s="23">
        <f>1</f>
        <v>1</v>
      </c>
      <c r="D8" s="12"/>
      <c r="E8" s="12"/>
      <c r="F8" s="21" t="s">
        <v>16</v>
      </c>
      <c r="G8" s="14">
        <v>1</v>
      </c>
      <c r="K8" s="15" t="s">
        <v>17</v>
      </c>
      <c r="L8" s="24">
        <f>7</f>
        <v>7</v>
      </c>
      <c r="N8" s="21" t="s">
        <v>16</v>
      </c>
      <c r="O8" s="14">
        <f>4+1+1</f>
        <v>6</v>
      </c>
      <c r="P8" s="18"/>
      <c r="Q8"/>
      <c r="R8" s="21" t="s">
        <v>18</v>
      </c>
      <c r="S8" s="22">
        <v>6</v>
      </c>
    </row>
    <row r="9" spans="2:19" x14ac:dyDescent="0.3">
      <c r="B9" s="10" t="s">
        <v>19</v>
      </c>
      <c r="C9" s="23">
        <f>0</f>
        <v>0</v>
      </c>
      <c r="D9" s="12"/>
      <c r="E9" s="12"/>
      <c r="F9" s="21" t="s">
        <v>14</v>
      </c>
      <c r="G9" s="14">
        <v>1</v>
      </c>
      <c r="K9" s="15" t="s">
        <v>20</v>
      </c>
      <c r="L9" s="24"/>
      <c r="M9" s="18"/>
      <c r="N9" s="21" t="s">
        <v>14</v>
      </c>
      <c r="O9" s="14">
        <f>1</f>
        <v>1</v>
      </c>
      <c r="P9" s="18"/>
      <c r="Q9"/>
      <c r="R9" s="21" t="s">
        <v>21</v>
      </c>
      <c r="S9" s="22">
        <v>1</v>
      </c>
    </row>
    <row r="10" spans="2:19" x14ac:dyDescent="0.3">
      <c r="B10" s="10" t="s">
        <v>22</v>
      </c>
      <c r="C10" s="23">
        <f>7</f>
        <v>7</v>
      </c>
      <c r="D10" s="12"/>
      <c r="E10" s="12"/>
      <c r="F10" s="21" t="s">
        <v>27</v>
      </c>
      <c r="G10" s="14">
        <v>5</v>
      </c>
      <c r="K10" s="15" t="s">
        <v>24</v>
      </c>
      <c r="L10" s="24"/>
      <c r="N10" s="21" t="s">
        <v>27</v>
      </c>
      <c r="O10" s="14">
        <f>2</f>
        <v>2</v>
      </c>
      <c r="P10" s="18"/>
      <c r="R10" s="21" t="s">
        <v>25</v>
      </c>
      <c r="S10" s="22">
        <v>6</v>
      </c>
    </row>
    <row r="11" spans="2:19" ht="15" thickBot="1" x14ac:dyDescent="0.35">
      <c r="B11" s="25" t="s">
        <v>26</v>
      </c>
      <c r="C11" s="26">
        <f>3</f>
        <v>3</v>
      </c>
      <c r="D11" s="12"/>
      <c r="E11" s="12"/>
      <c r="F11" s="21" t="s">
        <v>30</v>
      </c>
      <c r="G11" s="14">
        <v>3</v>
      </c>
      <c r="K11" s="15" t="s">
        <v>28</v>
      </c>
      <c r="L11" s="24"/>
      <c r="N11" s="21" t="s">
        <v>30</v>
      </c>
      <c r="O11" s="14">
        <f>1+1</f>
        <v>2</v>
      </c>
      <c r="P11" s="18"/>
      <c r="R11" s="21" t="s">
        <v>29</v>
      </c>
      <c r="S11" s="22">
        <v>7</v>
      </c>
    </row>
    <row r="12" spans="2:19" ht="15" thickBot="1" x14ac:dyDescent="0.35">
      <c r="B12" s="48"/>
      <c r="C12" s="49"/>
      <c r="D12" s="12"/>
      <c r="F12" s="21" t="s">
        <v>59</v>
      </c>
      <c r="G12" s="14">
        <v>0</v>
      </c>
      <c r="K12" s="15" t="s">
        <v>31</v>
      </c>
      <c r="L12" s="24"/>
      <c r="N12" s="21" t="s">
        <v>59</v>
      </c>
      <c r="O12" s="14">
        <f>1</f>
        <v>1</v>
      </c>
      <c r="P12" s="18"/>
      <c r="R12" s="21" t="s">
        <v>32</v>
      </c>
      <c r="S12" s="22">
        <v>3</v>
      </c>
    </row>
    <row r="13" spans="2:19" ht="15" thickBot="1" x14ac:dyDescent="0.35">
      <c r="B13" s="27" t="s">
        <v>3</v>
      </c>
      <c r="C13" s="8" t="s">
        <v>7</v>
      </c>
      <c r="D13" s="12"/>
      <c r="F13" s="21" t="s">
        <v>58</v>
      </c>
      <c r="G13" s="14">
        <v>0</v>
      </c>
      <c r="K13" s="15" t="s">
        <v>34</v>
      </c>
      <c r="L13" s="24"/>
      <c r="N13" s="21" t="s">
        <v>58</v>
      </c>
      <c r="O13" s="14">
        <v>0</v>
      </c>
      <c r="P13" s="18"/>
      <c r="R13" s="21" t="s">
        <v>35</v>
      </c>
      <c r="S13" s="22">
        <v>1</v>
      </c>
    </row>
    <row r="14" spans="2:19" ht="15" thickBot="1" x14ac:dyDescent="0.35">
      <c r="B14" s="13" t="s">
        <v>9</v>
      </c>
      <c r="C14" s="28">
        <v>0</v>
      </c>
      <c r="F14" s="21" t="s">
        <v>33</v>
      </c>
      <c r="G14" s="14">
        <v>2</v>
      </c>
      <c r="K14" s="15" t="s">
        <v>37</v>
      </c>
      <c r="L14" s="24"/>
      <c r="N14" s="21" t="s">
        <v>38</v>
      </c>
      <c r="O14" s="14">
        <f>1+1+4+1</f>
        <v>7</v>
      </c>
      <c r="P14" s="18"/>
      <c r="R14" s="30" t="s">
        <v>39</v>
      </c>
      <c r="S14" s="22">
        <v>1</v>
      </c>
    </row>
    <row r="15" spans="2:19" ht="15" thickBot="1" x14ac:dyDescent="0.35">
      <c r="B15" s="20" t="s">
        <v>11</v>
      </c>
      <c r="C15" s="14">
        <v>2</v>
      </c>
      <c r="F15" s="21" t="s">
        <v>36</v>
      </c>
      <c r="G15" s="29">
        <v>0</v>
      </c>
      <c r="K15" s="15" t="s">
        <v>41</v>
      </c>
      <c r="L15" s="24"/>
      <c r="N15" s="21" t="s">
        <v>42</v>
      </c>
      <c r="O15" s="14">
        <f>2+1+1+1</f>
        <v>5</v>
      </c>
      <c r="P15" s="18"/>
      <c r="R15" s="32" t="s">
        <v>43</v>
      </c>
      <c r="S15" s="9">
        <v>34</v>
      </c>
    </row>
    <row r="16" spans="2:19" ht="15" customHeight="1" thickBot="1" x14ac:dyDescent="0.35">
      <c r="B16" s="20" t="s">
        <v>16</v>
      </c>
      <c r="C16" s="14">
        <v>1</v>
      </c>
      <c r="F16" s="31" t="s">
        <v>40</v>
      </c>
      <c r="G16" s="7">
        <f>SUM(G6:G15)</f>
        <v>15</v>
      </c>
      <c r="K16" s="15" t="s">
        <v>44</v>
      </c>
      <c r="L16" s="24"/>
      <c r="N16" s="33" t="s">
        <v>45</v>
      </c>
      <c r="O16" s="14">
        <f>1</f>
        <v>1</v>
      </c>
    </row>
    <row r="17" spans="2:38" ht="15" customHeight="1" thickBot="1" x14ac:dyDescent="0.35">
      <c r="B17" s="20" t="s">
        <v>14</v>
      </c>
      <c r="C17" s="14">
        <v>0</v>
      </c>
      <c r="K17" s="15" t="s">
        <v>46</v>
      </c>
      <c r="L17" s="24"/>
      <c r="N17" s="21" t="s">
        <v>21</v>
      </c>
      <c r="O17" s="14">
        <v>0</v>
      </c>
    </row>
    <row r="18" spans="2:38" ht="15" thickBot="1" x14ac:dyDescent="0.35">
      <c r="B18" s="20" t="s">
        <v>23</v>
      </c>
      <c r="C18" s="14">
        <v>0</v>
      </c>
      <c r="F18" s="1"/>
      <c r="K18" s="7" t="s">
        <v>63</v>
      </c>
      <c r="L18" s="34">
        <f>SUM(L6:L17)</f>
        <v>56</v>
      </c>
      <c r="N18" s="21" t="s">
        <v>47</v>
      </c>
      <c r="O18" s="14">
        <f>3+1+3+7+4+4</f>
        <v>22</v>
      </c>
    </row>
    <row r="19" spans="2:38" ht="15" thickBot="1" x14ac:dyDescent="0.35">
      <c r="B19" s="21" t="s">
        <v>27</v>
      </c>
      <c r="C19" s="14">
        <v>0</v>
      </c>
      <c r="N19" s="7" t="s">
        <v>48</v>
      </c>
      <c r="O19" s="7">
        <f>SUM(O6:O18)</f>
        <v>56</v>
      </c>
    </row>
    <row r="20" spans="2:38" ht="15" customHeight="1" thickBot="1" x14ac:dyDescent="0.35">
      <c r="B20" s="21" t="s">
        <v>30</v>
      </c>
      <c r="C20" s="14">
        <v>0</v>
      </c>
      <c r="N20" s="35"/>
      <c r="O20" s="35"/>
    </row>
    <row r="21" spans="2:38" ht="15" customHeight="1" x14ac:dyDescent="0.3">
      <c r="B21" s="20" t="s">
        <v>59</v>
      </c>
      <c r="C21" s="14">
        <v>0</v>
      </c>
      <c r="K21" s="50" t="s">
        <v>49</v>
      </c>
      <c r="L21" s="52">
        <f>L18/3</f>
        <v>18.666666666666668</v>
      </c>
      <c r="N21" s="35"/>
      <c r="O21" s="35"/>
    </row>
    <row r="22" spans="2:38" s="1" customFormat="1" ht="15" customHeight="1" thickBot="1" x14ac:dyDescent="0.35">
      <c r="B22" s="20" t="s">
        <v>58</v>
      </c>
      <c r="C22" s="14">
        <v>0</v>
      </c>
      <c r="D22"/>
      <c r="F22" s="36"/>
      <c r="G22"/>
      <c r="K22" s="51"/>
      <c r="L22" s="53"/>
      <c r="N22"/>
      <c r="O22"/>
      <c r="R22"/>
      <c r="S22"/>
    </row>
    <row r="23" spans="2:38" s="1" customFormat="1" ht="15" customHeight="1" thickBot="1" x14ac:dyDescent="0.35">
      <c r="B23" s="20" t="s">
        <v>25</v>
      </c>
      <c r="C23" s="14">
        <v>0</v>
      </c>
      <c r="D23"/>
      <c r="F23"/>
      <c r="G23"/>
      <c r="N23" s="40" t="s">
        <v>61</v>
      </c>
      <c r="O23" s="41"/>
      <c r="R23"/>
      <c r="S23"/>
    </row>
    <row r="24" spans="2:38" s="1" customFormat="1" ht="15" customHeight="1" x14ac:dyDescent="0.3">
      <c r="B24" s="20" t="s">
        <v>42</v>
      </c>
      <c r="C24" s="14">
        <v>0</v>
      </c>
      <c r="F24"/>
      <c r="G24"/>
      <c r="N24" s="17" t="s">
        <v>9</v>
      </c>
      <c r="O24" s="14">
        <f>3+2+1+1+2+2+1+1+2</f>
        <v>15</v>
      </c>
      <c r="R24"/>
      <c r="S24"/>
    </row>
    <row r="25" spans="2:38" s="1" customFormat="1" ht="15" customHeight="1" x14ac:dyDescent="0.3">
      <c r="B25" s="20" t="s">
        <v>50</v>
      </c>
      <c r="C25" s="14">
        <v>0</v>
      </c>
      <c r="F25"/>
      <c r="G25"/>
      <c r="N25" s="21" t="s">
        <v>11</v>
      </c>
      <c r="O25" s="14">
        <f>2+4+5+1+0+1+6+2+1</f>
        <v>22</v>
      </c>
      <c r="R25"/>
      <c r="S25"/>
    </row>
    <row r="26" spans="2:38" s="1" customFormat="1" ht="15" customHeight="1" x14ac:dyDescent="0.3">
      <c r="B26" s="20" t="s">
        <v>21</v>
      </c>
      <c r="C26" s="14">
        <v>0</v>
      </c>
      <c r="G26"/>
      <c r="N26" s="21" t="s">
        <v>16</v>
      </c>
      <c r="O26" s="14">
        <f>4+9+0+8+2+5+3+4+1</f>
        <v>36</v>
      </c>
      <c r="P26" s="39"/>
    </row>
    <row r="27" spans="2:38" s="1" customFormat="1" x14ac:dyDescent="0.3">
      <c r="B27" s="21" t="s">
        <v>79</v>
      </c>
      <c r="C27" s="14">
        <v>2</v>
      </c>
      <c r="G27"/>
      <c r="N27" s="21" t="s">
        <v>14</v>
      </c>
      <c r="O27" s="14">
        <f>1+0+0+0+0+0+0+0+1</f>
        <v>2</v>
      </c>
      <c r="Q27"/>
    </row>
    <row r="28" spans="2:38" s="1" customFormat="1" x14ac:dyDescent="0.3">
      <c r="B28" s="21" t="s">
        <v>77</v>
      </c>
      <c r="C28" s="14">
        <v>1</v>
      </c>
      <c r="E28" s="37"/>
      <c r="F28"/>
      <c r="G28"/>
      <c r="N28" s="21" t="s">
        <v>27</v>
      </c>
      <c r="O28" s="14">
        <f>1+3+3+4+4+1+2+5+4+5</f>
        <v>32</v>
      </c>
      <c r="Q28"/>
    </row>
    <row r="29" spans="2:38" s="1" customFormat="1" x14ac:dyDescent="0.3">
      <c r="B29" s="21" t="s">
        <v>74</v>
      </c>
      <c r="C29" s="14">
        <v>0</v>
      </c>
      <c r="F29"/>
      <c r="G29"/>
      <c r="N29" s="21" t="s">
        <v>30</v>
      </c>
      <c r="O29" s="14">
        <f>4+3+2+4+2+0+0+1+3</f>
        <v>19</v>
      </c>
      <c r="Q29"/>
    </row>
    <row r="30" spans="2:38" s="1" customFormat="1" x14ac:dyDescent="0.3">
      <c r="B30" s="21" t="s">
        <v>53</v>
      </c>
      <c r="C30" s="14">
        <v>1</v>
      </c>
      <c r="F30"/>
      <c r="G30"/>
      <c r="N30" s="21" t="s">
        <v>59</v>
      </c>
      <c r="O30" s="14">
        <f>1+0+0+1+1+0+0+0</f>
        <v>3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2:38" s="1" customFormat="1" x14ac:dyDescent="0.3">
      <c r="B31" s="21" t="s">
        <v>54</v>
      </c>
      <c r="C31" s="14">
        <v>0</v>
      </c>
      <c r="N31" s="21" t="s">
        <v>58</v>
      </c>
      <c r="O31" s="14">
        <f>0+0+0+0+0</f>
        <v>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2:38" s="1" customFormat="1" ht="15" thickBot="1" x14ac:dyDescent="0.35">
      <c r="B32" s="30" t="s">
        <v>55</v>
      </c>
      <c r="C32" s="14">
        <v>0</v>
      </c>
      <c r="N32" s="21" t="s">
        <v>33</v>
      </c>
      <c r="O32" s="14">
        <f>0+1+2+0+3+2+0+2</f>
        <v>10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2:40" s="1" customFormat="1" ht="15" thickBot="1" x14ac:dyDescent="0.35">
      <c r="B33" s="38" t="s">
        <v>56</v>
      </c>
      <c r="C33" s="7">
        <f>SUM(C14:C32)</f>
        <v>7</v>
      </c>
      <c r="N33" s="21" t="s">
        <v>47</v>
      </c>
      <c r="O33" s="14">
        <f>0+6+4+4+1+0+1</f>
        <v>16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2:40" s="1" customFormat="1" ht="15" thickBot="1" x14ac:dyDescent="0.35">
      <c r="N34" s="7" t="s">
        <v>48</v>
      </c>
      <c r="O34" s="7">
        <f>SUM(O24:O33)</f>
        <v>155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2:40" s="1" customFormat="1" x14ac:dyDescent="0.3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2:40" s="1" customFormat="1" ht="15" thickBot="1" x14ac:dyDescent="0.3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s="1" customFormat="1" ht="15" thickBot="1" x14ac:dyDescent="0.35">
      <c r="K37"/>
      <c r="L37"/>
      <c r="N37" s="40" t="s">
        <v>62</v>
      </c>
      <c r="O37" s="4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2:40" s="1" customFormat="1" x14ac:dyDescent="0.3">
      <c r="K38"/>
      <c r="L38"/>
      <c r="N38" s="17" t="s">
        <v>9</v>
      </c>
      <c r="O38" s="14">
        <f>5+1+6+5+4+6+3+6+8</f>
        <v>44</v>
      </c>
      <c r="R38"/>
      <c r="S38"/>
    </row>
    <row r="39" spans="2:40" x14ac:dyDescent="0.3">
      <c r="B39" s="1"/>
      <c r="C39" s="1"/>
      <c r="D39" s="1"/>
      <c r="F39" s="1"/>
      <c r="G39" s="1"/>
      <c r="N39" s="21" t="s">
        <v>11</v>
      </c>
      <c r="O39" s="14">
        <f>1+6+6+2+0+6+4+2+4</f>
        <v>31</v>
      </c>
    </row>
    <row r="40" spans="2:40" s="1" customFormat="1" x14ac:dyDescent="0.3">
      <c r="K40"/>
      <c r="L40"/>
      <c r="N40" s="21" t="s">
        <v>16</v>
      </c>
      <c r="O40" s="14">
        <f>4+4+5+6+3+3+5+3+5</f>
        <v>38</v>
      </c>
      <c r="P40" s="39"/>
      <c r="R40"/>
      <c r="S40"/>
    </row>
    <row r="41" spans="2:40" x14ac:dyDescent="0.3">
      <c r="B41" s="1"/>
      <c r="C41" s="1"/>
      <c r="F41" s="1"/>
      <c r="G41" s="1"/>
      <c r="N41" s="21" t="s">
        <v>14</v>
      </c>
      <c r="O41" s="14">
        <f>1+3+0+1+0+1+0</f>
        <v>6</v>
      </c>
    </row>
    <row r="42" spans="2:40" s="1" customFormat="1" x14ac:dyDescent="0.3">
      <c r="F42"/>
      <c r="G42"/>
      <c r="K42"/>
      <c r="L42"/>
      <c r="N42" s="21" t="s">
        <v>27</v>
      </c>
      <c r="O42" s="14">
        <f>4+5+3+4+5+7+6+2</f>
        <v>36</v>
      </c>
      <c r="R42"/>
      <c r="S42"/>
    </row>
    <row r="43" spans="2:40" x14ac:dyDescent="0.3">
      <c r="B43" s="1"/>
      <c r="C43" s="1"/>
      <c r="N43" s="21" t="s">
        <v>30</v>
      </c>
      <c r="O43" s="14">
        <f>1+3+5+4+6+1+2+3+4+3</f>
        <v>32</v>
      </c>
      <c r="Q43"/>
    </row>
    <row r="44" spans="2:40" x14ac:dyDescent="0.3">
      <c r="C44" s="1"/>
      <c r="D44" s="1"/>
      <c r="N44" s="21" t="s">
        <v>59</v>
      </c>
      <c r="O44" s="14">
        <f>1+3+0+2+2+3+2+2+4</f>
        <v>19</v>
      </c>
      <c r="Q44"/>
    </row>
    <row r="45" spans="2:40" x14ac:dyDescent="0.3">
      <c r="N45" s="21" t="s">
        <v>58</v>
      </c>
      <c r="O45" s="14">
        <f>1+0+0+0+0+0+0+0</f>
        <v>1</v>
      </c>
      <c r="Q45"/>
    </row>
    <row r="46" spans="2:40" ht="15" customHeight="1" x14ac:dyDescent="0.3">
      <c r="N46" s="21" t="s">
        <v>33</v>
      </c>
      <c r="O46" s="14">
        <f>0+3+2+0+2+2+4+1</f>
        <v>14</v>
      </c>
      <c r="Q46"/>
    </row>
    <row r="47" spans="2:40" ht="15" thickBot="1" x14ac:dyDescent="0.35">
      <c r="K47" s="42"/>
      <c r="L47" s="42"/>
      <c r="N47" s="21" t="s">
        <v>47</v>
      </c>
      <c r="O47" s="14">
        <f>1+11+0+0+0+1+6+4</f>
        <v>23</v>
      </c>
      <c r="Q47"/>
    </row>
    <row r="48" spans="2:40" ht="15" thickBot="1" x14ac:dyDescent="0.35">
      <c r="N48" s="7" t="s">
        <v>48</v>
      </c>
      <c r="O48" s="7">
        <f>SUM(O38:O47)</f>
        <v>244</v>
      </c>
      <c r="P48"/>
      <c r="Q48"/>
    </row>
    <row r="49" spans="16:17" x14ac:dyDescent="0.3">
      <c r="P49"/>
      <c r="Q49"/>
    </row>
    <row r="50" spans="16:17" x14ac:dyDescent="0.3">
      <c r="P50"/>
      <c r="Q50"/>
    </row>
    <row r="51" spans="16:17" x14ac:dyDescent="0.3">
      <c r="P51"/>
      <c r="Q51"/>
    </row>
    <row r="52" spans="16:17" x14ac:dyDescent="0.3">
      <c r="P52"/>
      <c r="Q52"/>
    </row>
    <row r="53" spans="16:17" x14ac:dyDescent="0.3">
      <c r="P53"/>
      <c r="Q53"/>
    </row>
    <row r="54" spans="16:17" x14ac:dyDescent="0.3">
      <c r="P54"/>
      <c r="Q54"/>
    </row>
    <row r="55" spans="16:17" x14ac:dyDescent="0.3">
      <c r="P55"/>
      <c r="Q55"/>
    </row>
    <row r="56" spans="16:17" x14ac:dyDescent="0.3">
      <c r="P56"/>
      <c r="Q56"/>
    </row>
    <row r="57" spans="16:17" x14ac:dyDescent="0.3">
      <c r="P57"/>
      <c r="Q57"/>
    </row>
    <row r="58" spans="16:17" x14ac:dyDescent="0.3">
      <c r="P58"/>
      <c r="Q58"/>
    </row>
    <row r="59" spans="16:17" x14ac:dyDescent="0.3">
      <c r="P59"/>
      <c r="Q59"/>
    </row>
    <row r="60" spans="16:17" x14ac:dyDescent="0.3">
      <c r="P60"/>
      <c r="Q60"/>
    </row>
    <row r="61" spans="16:17" x14ac:dyDescent="0.3">
      <c r="P61"/>
      <c r="Q61"/>
    </row>
    <row r="62" spans="16:17" x14ac:dyDescent="0.3">
      <c r="P62"/>
      <c r="Q62"/>
    </row>
    <row r="63" spans="16:17" x14ac:dyDescent="0.3">
      <c r="P63"/>
      <c r="Q63"/>
    </row>
    <row r="64" spans="16:17" x14ac:dyDescent="0.3">
      <c r="P64"/>
      <c r="Q64"/>
    </row>
    <row r="65" spans="16:17" x14ac:dyDescent="0.3">
      <c r="P65"/>
      <c r="Q65"/>
    </row>
    <row r="66" spans="16:17" x14ac:dyDescent="0.3">
      <c r="P66"/>
      <c r="Q66"/>
    </row>
    <row r="67" spans="16:17" x14ac:dyDescent="0.3">
      <c r="P67"/>
      <c r="Q67"/>
    </row>
    <row r="68" spans="16:17" x14ac:dyDescent="0.3">
      <c r="P68"/>
      <c r="Q68"/>
    </row>
    <row r="69" spans="16:17" x14ac:dyDescent="0.3">
      <c r="P69"/>
      <c r="Q69"/>
    </row>
    <row r="70" spans="16:17" x14ac:dyDescent="0.3">
      <c r="P70"/>
      <c r="Q70"/>
    </row>
    <row r="71" spans="16:17" x14ac:dyDescent="0.3">
      <c r="P71"/>
      <c r="Q71"/>
    </row>
    <row r="72" spans="16:17" x14ac:dyDescent="0.3">
      <c r="P72"/>
      <c r="Q72"/>
    </row>
    <row r="73" spans="16:17" x14ac:dyDescent="0.3">
      <c r="P73"/>
      <c r="Q73"/>
    </row>
    <row r="74" spans="16:17" x14ac:dyDescent="0.3">
      <c r="P74"/>
      <c r="Q74"/>
    </row>
    <row r="75" spans="16:17" x14ac:dyDescent="0.3">
      <c r="P75"/>
      <c r="Q75"/>
    </row>
    <row r="76" spans="16:17" x14ac:dyDescent="0.3">
      <c r="P76"/>
      <c r="Q76"/>
    </row>
    <row r="77" spans="16:17" x14ac:dyDescent="0.3">
      <c r="P77"/>
      <c r="Q77"/>
    </row>
    <row r="78" spans="16:17" x14ac:dyDescent="0.3">
      <c r="P78"/>
      <c r="Q78"/>
    </row>
    <row r="79" spans="16:17" x14ac:dyDescent="0.3">
      <c r="P79"/>
      <c r="Q79"/>
    </row>
    <row r="80" spans="16:17" x14ac:dyDescent="0.3">
      <c r="P80"/>
      <c r="Q80"/>
    </row>
    <row r="81" spans="16:17" x14ac:dyDescent="0.3">
      <c r="P81"/>
      <c r="Q81"/>
    </row>
    <row r="82" spans="16:17" x14ac:dyDescent="0.3">
      <c r="P82"/>
      <c r="Q82"/>
    </row>
    <row r="83" spans="16:17" x14ac:dyDescent="0.3">
      <c r="P83"/>
      <c r="Q83"/>
    </row>
    <row r="84" spans="16:17" x14ac:dyDescent="0.3">
      <c r="P84"/>
      <c r="Q84"/>
    </row>
    <row r="85" spans="16:17" x14ac:dyDescent="0.3">
      <c r="P85"/>
      <c r="Q85"/>
    </row>
    <row r="86" spans="16:17" x14ac:dyDescent="0.3">
      <c r="P86"/>
      <c r="Q86"/>
    </row>
    <row r="87" spans="16:17" x14ac:dyDescent="0.3">
      <c r="P87"/>
      <c r="Q87"/>
    </row>
    <row r="88" spans="16:17" x14ac:dyDescent="0.3">
      <c r="P88"/>
      <c r="Q88"/>
    </row>
    <row r="89" spans="16:17" x14ac:dyDescent="0.3">
      <c r="P89"/>
      <c r="Q89"/>
    </row>
    <row r="90" spans="16:17" x14ac:dyDescent="0.3">
      <c r="P90"/>
      <c r="Q90"/>
    </row>
    <row r="91" spans="16:17" x14ac:dyDescent="0.3">
      <c r="P91"/>
      <c r="Q91"/>
    </row>
    <row r="92" spans="16:17" x14ac:dyDescent="0.3">
      <c r="P92"/>
      <c r="Q92"/>
    </row>
    <row r="93" spans="16:17" x14ac:dyDescent="0.3">
      <c r="P93"/>
      <c r="Q93"/>
    </row>
    <row r="94" spans="16:17" x14ac:dyDescent="0.3">
      <c r="P94"/>
      <c r="Q94"/>
    </row>
    <row r="95" spans="16:17" x14ac:dyDescent="0.3">
      <c r="P95"/>
      <c r="Q95"/>
    </row>
    <row r="96" spans="16:17" x14ac:dyDescent="0.3">
      <c r="P96"/>
      <c r="Q96"/>
    </row>
    <row r="97" spans="16:17" x14ac:dyDescent="0.3">
      <c r="P97"/>
      <c r="Q97"/>
    </row>
    <row r="98" spans="16:17" x14ac:dyDescent="0.3">
      <c r="P98"/>
      <c r="Q98"/>
    </row>
    <row r="99" spans="16:17" x14ac:dyDescent="0.3">
      <c r="P99"/>
      <c r="Q99"/>
    </row>
    <row r="100" spans="16:17" x14ac:dyDescent="0.3">
      <c r="P100"/>
      <c r="Q100"/>
    </row>
    <row r="101" spans="16:17" x14ac:dyDescent="0.3">
      <c r="P101"/>
      <c r="Q101"/>
    </row>
    <row r="102" spans="16:17" x14ac:dyDescent="0.3">
      <c r="P102"/>
      <c r="Q102"/>
    </row>
    <row r="103" spans="16:17" x14ac:dyDescent="0.3">
      <c r="P103"/>
      <c r="Q103"/>
    </row>
    <row r="104" spans="16:17" x14ac:dyDescent="0.3">
      <c r="P104"/>
      <c r="Q104"/>
    </row>
    <row r="105" spans="16:17" x14ac:dyDescent="0.3">
      <c r="P105"/>
      <c r="Q105"/>
    </row>
    <row r="106" spans="16:17" x14ac:dyDescent="0.3">
      <c r="P106"/>
      <c r="Q106"/>
    </row>
    <row r="107" spans="16:17" x14ac:dyDescent="0.3">
      <c r="P107"/>
      <c r="Q107"/>
    </row>
    <row r="108" spans="16:17" x14ac:dyDescent="0.3">
      <c r="P108"/>
      <c r="Q108"/>
    </row>
    <row r="109" spans="16:17" x14ac:dyDescent="0.3">
      <c r="P109"/>
      <c r="Q109"/>
    </row>
    <row r="110" spans="16:17" x14ac:dyDescent="0.3">
      <c r="P110"/>
      <c r="Q110"/>
    </row>
    <row r="111" spans="16:17" x14ac:dyDescent="0.3">
      <c r="P111"/>
      <c r="Q111"/>
    </row>
    <row r="112" spans="16:17" x14ac:dyDescent="0.3">
      <c r="P112"/>
      <c r="Q112"/>
    </row>
    <row r="113" spans="16:17" x14ac:dyDescent="0.3">
      <c r="P113"/>
      <c r="Q113"/>
    </row>
    <row r="114" spans="16:17" x14ac:dyDescent="0.3">
      <c r="P114"/>
      <c r="Q114"/>
    </row>
    <row r="115" spans="16:17" x14ac:dyDescent="0.3">
      <c r="P115"/>
      <c r="Q115"/>
    </row>
    <row r="116" spans="16:17" x14ac:dyDescent="0.3">
      <c r="P116"/>
      <c r="Q116"/>
    </row>
    <row r="117" spans="16:17" x14ac:dyDescent="0.3">
      <c r="P117"/>
      <c r="Q117"/>
    </row>
    <row r="118" spans="16:17" x14ac:dyDescent="0.3">
      <c r="P118"/>
      <c r="Q118"/>
    </row>
    <row r="119" spans="16:17" x14ac:dyDescent="0.3">
      <c r="P119"/>
      <c r="Q119"/>
    </row>
    <row r="120" spans="16:17" x14ac:dyDescent="0.3">
      <c r="P120"/>
      <c r="Q120"/>
    </row>
    <row r="121" spans="16:17" x14ac:dyDescent="0.3">
      <c r="P121"/>
      <c r="Q121"/>
    </row>
    <row r="122" spans="16:17" x14ac:dyDescent="0.3">
      <c r="P122"/>
      <c r="Q122"/>
    </row>
    <row r="123" spans="16:17" x14ac:dyDescent="0.3">
      <c r="P123"/>
      <c r="Q123"/>
    </row>
    <row r="124" spans="16:17" x14ac:dyDescent="0.3">
      <c r="P124"/>
      <c r="Q124"/>
    </row>
    <row r="125" spans="16:17" x14ac:dyDescent="0.3">
      <c r="P125"/>
      <c r="Q125"/>
    </row>
    <row r="126" spans="16:17" x14ac:dyDescent="0.3">
      <c r="P126"/>
      <c r="Q126"/>
    </row>
    <row r="127" spans="16:17" x14ac:dyDescent="0.3">
      <c r="P127"/>
      <c r="Q127"/>
    </row>
    <row r="128" spans="16:17" x14ac:dyDescent="0.3">
      <c r="P128"/>
      <c r="Q128"/>
    </row>
    <row r="129" spans="16:17" x14ac:dyDescent="0.3">
      <c r="P129"/>
      <c r="Q129"/>
    </row>
    <row r="130" spans="16:17" x14ac:dyDescent="0.3">
      <c r="P130"/>
      <c r="Q130"/>
    </row>
    <row r="131" spans="16:17" x14ac:dyDescent="0.3">
      <c r="P131"/>
      <c r="Q131"/>
    </row>
    <row r="132" spans="16:17" x14ac:dyDescent="0.3">
      <c r="P132"/>
      <c r="Q132"/>
    </row>
    <row r="133" spans="16:17" x14ac:dyDescent="0.3">
      <c r="P133"/>
      <c r="Q133"/>
    </row>
    <row r="134" spans="16:17" x14ac:dyDescent="0.3">
      <c r="P134"/>
      <c r="Q134"/>
    </row>
    <row r="135" spans="16:17" x14ac:dyDescent="0.3">
      <c r="P135"/>
      <c r="Q135"/>
    </row>
    <row r="136" spans="16:17" x14ac:dyDescent="0.3">
      <c r="P136"/>
      <c r="Q136"/>
    </row>
    <row r="137" spans="16:17" x14ac:dyDescent="0.3">
      <c r="P137"/>
      <c r="Q137"/>
    </row>
    <row r="138" spans="16:17" x14ac:dyDescent="0.3">
      <c r="P138"/>
      <c r="Q138"/>
    </row>
    <row r="139" spans="16:17" x14ac:dyDescent="0.3">
      <c r="P139"/>
      <c r="Q139"/>
    </row>
    <row r="140" spans="16:17" x14ac:dyDescent="0.3">
      <c r="P140"/>
      <c r="Q140"/>
    </row>
    <row r="141" spans="16:17" x14ac:dyDescent="0.3">
      <c r="P141"/>
      <c r="Q141"/>
    </row>
    <row r="142" spans="16:17" x14ac:dyDescent="0.3">
      <c r="P142"/>
      <c r="Q142"/>
    </row>
    <row r="143" spans="16:17" x14ac:dyDescent="0.3">
      <c r="P143"/>
      <c r="Q143"/>
    </row>
    <row r="144" spans="16:17" x14ac:dyDescent="0.3">
      <c r="P144"/>
      <c r="Q144"/>
    </row>
    <row r="145" spans="16:17" x14ac:dyDescent="0.3">
      <c r="P145"/>
      <c r="Q145"/>
    </row>
    <row r="146" spans="16:17" x14ac:dyDescent="0.3">
      <c r="P146"/>
      <c r="Q146"/>
    </row>
    <row r="147" spans="16:17" x14ac:dyDescent="0.3">
      <c r="P147"/>
      <c r="Q147"/>
    </row>
    <row r="148" spans="16:17" x14ac:dyDescent="0.3">
      <c r="P148"/>
      <c r="Q148"/>
    </row>
    <row r="149" spans="16:17" x14ac:dyDescent="0.3">
      <c r="P149"/>
      <c r="Q149"/>
    </row>
    <row r="150" spans="16:17" x14ac:dyDescent="0.3">
      <c r="P150"/>
      <c r="Q150"/>
    </row>
    <row r="151" spans="16:17" x14ac:dyDescent="0.3">
      <c r="P151"/>
      <c r="Q151"/>
    </row>
    <row r="152" spans="16:17" x14ac:dyDescent="0.3">
      <c r="P152"/>
      <c r="Q152"/>
    </row>
    <row r="153" spans="16:17" x14ac:dyDescent="0.3">
      <c r="P153"/>
      <c r="Q153"/>
    </row>
    <row r="154" spans="16:17" x14ac:dyDescent="0.3">
      <c r="P154"/>
      <c r="Q154"/>
    </row>
    <row r="155" spans="16:17" x14ac:dyDescent="0.3">
      <c r="P155"/>
      <c r="Q155"/>
    </row>
    <row r="156" spans="16:17" x14ac:dyDescent="0.3">
      <c r="P156"/>
      <c r="Q156"/>
    </row>
    <row r="157" spans="16:17" x14ac:dyDescent="0.3">
      <c r="P157"/>
      <c r="Q157"/>
    </row>
    <row r="158" spans="16:17" x14ac:dyDescent="0.3">
      <c r="P158"/>
      <c r="Q158"/>
    </row>
    <row r="159" spans="16:17" x14ac:dyDescent="0.3">
      <c r="P159"/>
      <c r="Q159"/>
    </row>
    <row r="160" spans="16:17" x14ac:dyDescent="0.3">
      <c r="P160"/>
      <c r="Q160"/>
    </row>
    <row r="161" spans="16:17" x14ac:dyDescent="0.3">
      <c r="P161"/>
      <c r="Q161"/>
    </row>
    <row r="162" spans="16:17" x14ac:dyDescent="0.3">
      <c r="P162"/>
      <c r="Q162"/>
    </row>
    <row r="163" spans="16:17" x14ac:dyDescent="0.3">
      <c r="P163"/>
      <c r="Q163"/>
    </row>
    <row r="164" spans="16:17" x14ac:dyDescent="0.3">
      <c r="P164"/>
      <c r="Q164"/>
    </row>
    <row r="165" spans="16:17" x14ac:dyDescent="0.3">
      <c r="P165"/>
      <c r="Q165"/>
    </row>
    <row r="166" spans="16:17" x14ac:dyDescent="0.3">
      <c r="P166"/>
      <c r="Q166"/>
    </row>
    <row r="167" spans="16:17" x14ac:dyDescent="0.3">
      <c r="P167"/>
      <c r="Q167"/>
    </row>
    <row r="168" spans="16:17" x14ac:dyDescent="0.3">
      <c r="P168"/>
      <c r="Q168"/>
    </row>
    <row r="169" spans="16:17" x14ac:dyDescent="0.3">
      <c r="P169"/>
      <c r="Q169"/>
    </row>
    <row r="170" spans="16:17" x14ac:dyDescent="0.3">
      <c r="P170"/>
      <c r="Q170"/>
    </row>
    <row r="171" spans="16:17" x14ac:dyDescent="0.3">
      <c r="P171"/>
      <c r="Q171"/>
    </row>
    <row r="172" spans="16:17" x14ac:dyDescent="0.3">
      <c r="P172"/>
      <c r="Q172"/>
    </row>
    <row r="173" spans="16:17" x14ac:dyDescent="0.3">
      <c r="P173"/>
      <c r="Q173"/>
    </row>
    <row r="174" spans="16:17" x14ac:dyDescent="0.3">
      <c r="P174"/>
      <c r="Q174"/>
    </row>
    <row r="175" spans="16:17" x14ac:dyDescent="0.3">
      <c r="P175"/>
      <c r="Q175"/>
    </row>
    <row r="176" spans="16:17" x14ac:dyDescent="0.3">
      <c r="P176"/>
      <c r="Q176"/>
    </row>
    <row r="177" spans="16:17" x14ac:dyDescent="0.3">
      <c r="P177"/>
      <c r="Q177"/>
    </row>
    <row r="178" spans="16:17" x14ac:dyDescent="0.3">
      <c r="P178"/>
      <c r="Q178"/>
    </row>
    <row r="179" spans="16:17" x14ac:dyDescent="0.3">
      <c r="P179"/>
      <c r="Q179"/>
    </row>
    <row r="180" spans="16:17" x14ac:dyDescent="0.3">
      <c r="P180"/>
      <c r="Q180"/>
    </row>
    <row r="181" spans="16:17" x14ac:dyDescent="0.3">
      <c r="P181"/>
      <c r="Q181"/>
    </row>
    <row r="182" spans="16:17" x14ac:dyDescent="0.3">
      <c r="P182"/>
      <c r="Q182"/>
    </row>
    <row r="183" spans="16:17" x14ac:dyDescent="0.3">
      <c r="P183"/>
      <c r="Q183"/>
    </row>
    <row r="184" spans="16:17" x14ac:dyDescent="0.3">
      <c r="P184"/>
      <c r="Q184"/>
    </row>
    <row r="185" spans="16:17" x14ac:dyDescent="0.3">
      <c r="P185"/>
      <c r="Q185"/>
    </row>
    <row r="186" spans="16:17" x14ac:dyDescent="0.3">
      <c r="P186"/>
      <c r="Q186"/>
    </row>
    <row r="187" spans="16:17" x14ac:dyDescent="0.3">
      <c r="P187"/>
      <c r="Q187"/>
    </row>
    <row r="188" spans="16:17" x14ac:dyDesce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r="191" spans="16:17" x14ac:dyDescent="0.3">
      <c r="P191"/>
      <c r="Q191"/>
    </row>
    <row r="192" spans="16:17" x14ac:dyDescent="0.3">
      <c r="P192"/>
      <c r="Q192"/>
    </row>
    <row r="193" spans="16:17" x14ac:dyDescent="0.3">
      <c r="P193"/>
      <c r="Q193"/>
    </row>
    <row r="194" spans="16:17" x14ac:dyDescent="0.3">
      <c r="P194"/>
      <c r="Q194"/>
    </row>
    <row r="195" spans="16:17" x14ac:dyDescent="0.3">
      <c r="P195"/>
      <c r="Q195"/>
    </row>
    <row r="196" spans="16:17" x14ac:dyDescent="0.3">
      <c r="P196"/>
      <c r="Q196"/>
    </row>
    <row r="197" spans="16:17" x14ac:dyDescent="0.3">
      <c r="P197"/>
      <c r="Q197"/>
    </row>
    <row r="198" spans="16:17" x14ac:dyDescent="0.3">
      <c r="P198"/>
      <c r="Q198"/>
    </row>
    <row r="199" spans="16:17" x14ac:dyDescent="0.3">
      <c r="P199"/>
      <c r="Q199"/>
    </row>
    <row r="200" spans="16:17" x14ac:dyDescent="0.3">
      <c r="P200"/>
      <c r="Q200"/>
    </row>
    <row r="201" spans="16:17" x14ac:dyDescent="0.3">
      <c r="P201"/>
      <c r="Q201"/>
    </row>
    <row r="202" spans="16:17" x14ac:dyDescent="0.3">
      <c r="P202"/>
      <c r="Q202"/>
    </row>
    <row r="203" spans="16:17" x14ac:dyDescent="0.3">
      <c r="P203"/>
      <c r="Q203"/>
    </row>
    <row r="204" spans="16:17" x14ac:dyDescent="0.3">
      <c r="P204"/>
      <c r="Q204"/>
    </row>
    <row r="205" spans="16:17" x14ac:dyDescent="0.3">
      <c r="P205"/>
      <c r="Q205"/>
    </row>
    <row r="206" spans="16:17" x14ac:dyDescent="0.3">
      <c r="P206"/>
      <c r="Q206"/>
    </row>
    <row r="207" spans="16:17" x14ac:dyDescent="0.3">
      <c r="P207"/>
      <c r="Q207"/>
    </row>
    <row r="208" spans="16:17" x14ac:dyDescent="0.3">
      <c r="P208"/>
      <c r="Q208"/>
    </row>
    <row r="209" spans="16:17" x14ac:dyDescent="0.3">
      <c r="P209"/>
      <c r="Q209"/>
    </row>
    <row r="210" spans="16:17" x14ac:dyDescent="0.3">
      <c r="P210"/>
      <c r="Q210"/>
    </row>
    <row r="211" spans="16:17" x14ac:dyDescent="0.3">
      <c r="P211"/>
      <c r="Q211"/>
    </row>
    <row r="212" spans="16:17" x14ac:dyDescent="0.3">
      <c r="P212"/>
      <c r="Q212"/>
    </row>
    <row r="213" spans="16:17" x14ac:dyDescent="0.3">
      <c r="P213"/>
      <c r="Q213"/>
    </row>
    <row r="214" spans="16:17" x14ac:dyDescent="0.3">
      <c r="P214"/>
      <c r="Q214"/>
    </row>
    <row r="215" spans="16:17" x14ac:dyDescent="0.3">
      <c r="P215"/>
      <c r="Q215"/>
    </row>
    <row r="216" spans="16:17" x14ac:dyDescent="0.3">
      <c r="P216"/>
      <c r="Q216"/>
    </row>
    <row r="217" spans="16:17" x14ac:dyDescent="0.3">
      <c r="P217"/>
      <c r="Q217"/>
    </row>
    <row r="218" spans="16:17" x14ac:dyDescent="0.3">
      <c r="P218"/>
      <c r="Q218"/>
    </row>
    <row r="219" spans="16:17" x14ac:dyDescent="0.3">
      <c r="P219"/>
      <c r="Q219"/>
    </row>
    <row r="220" spans="16:17" x14ac:dyDescent="0.3">
      <c r="P220"/>
      <c r="Q220"/>
    </row>
    <row r="221" spans="16:17" x14ac:dyDescent="0.3">
      <c r="P221"/>
      <c r="Q221"/>
    </row>
    <row r="222" spans="16:17" x14ac:dyDescent="0.3">
      <c r="P222"/>
      <c r="Q222"/>
    </row>
    <row r="223" spans="16:17" x14ac:dyDescent="0.3">
      <c r="P223"/>
      <c r="Q223"/>
    </row>
    <row r="224" spans="16:17" x14ac:dyDescent="0.3">
      <c r="P224"/>
      <c r="Q224"/>
    </row>
    <row r="225" spans="16:17" x14ac:dyDescent="0.3">
      <c r="P225"/>
      <c r="Q225"/>
    </row>
    <row r="226" spans="16:17" x14ac:dyDescent="0.3">
      <c r="P226"/>
      <c r="Q226"/>
    </row>
    <row r="227" spans="16:17" x14ac:dyDescent="0.3">
      <c r="P227"/>
      <c r="Q227"/>
    </row>
    <row r="228" spans="16:17" x14ac:dyDescent="0.3">
      <c r="P228"/>
      <c r="Q228"/>
    </row>
    <row r="229" spans="16:17" x14ac:dyDescent="0.3">
      <c r="P229"/>
      <c r="Q229"/>
    </row>
    <row r="230" spans="16:17" x14ac:dyDescent="0.3">
      <c r="P230"/>
      <c r="Q230"/>
    </row>
    <row r="231" spans="16:17" x14ac:dyDescent="0.3">
      <c r="P231"/>
      <c r="Q231"/>
    </row>
    <row r="232" spans="16:17" x14ac:dyDescent="0.3">
      <c r="P232"/>
      <c r="Q232"/>
    </row>
    <row r="233" spans="16:17" x14ac:dyDescent="0.3">
      <c r="P233"/>
      <c r="Q233"/>
    </row>
    <row r="234" spans="16:17" x14ac:dyDescent="0.3">
      <c r="P234"/>
      <c r="Q234"/>
    </row>
    <row r="235" spans="16:17" x14ac:dyDescent="0.3">
      <c r="P235"/>
      <c r="Q235"/>
    </row>
    <row r="236" spans="16:17" x14ac:dyDescent="0.3">
      <c r="P236"/>
      <c r="Q236"/>
    </row>
    <row r="237" spans="16:17" x14ac:dyDescent="0.3">
      <c r="P237"/>
      <c r="Q237"/>
    </row>
    <row r="238" spans="16:17" x14ac:dyDescent="0.3">
      <c r="P238"/>
      <c r="Q238"/>
    </row>
    <row r="239" spans="16:17" x14ac:dyDescent="0.3">
      <c r="P239"/>
      <c r="Q239"/>
    </row>
    <row r="240" spans="16:17" x14ac:dyDescent="0.3">
      <c r="P240"/>
      <c r="Q240"/>
    </row>
    <row r="241" spans="16:17" x14ac:dyDescent="0.3">
      <c r="P241"/>
      <c r="Q241"/>
    </row>
    <row r="242" spans="16:17" x14ac:dyDescent="0.3">
      <c r="P242"/>
      <c r="Q242"/>
    </row>
    <row r="243" spans="16:17" x14ac:dyDescent="0.3">
      <c r="P243"/>
      <c r="Q243"/>
    </row>
    <row r="244" spans="16:17" x14ac:dyDescent="0.3">
      <c r="P244"/>
      <c r="Q244"/>
    </row>
    <row r="245" spans="16:17" x14ac:dyDescent="0.3">
      <c r="P245"/>
      <c r="Q245"/>
    </row>
    <row r="246" spans="16:17" x14ac:dyDescent="0.3">
      <c r="P246"/>
      <c r="Q246"/>
    </row>
    <row r="247" spans="16:17" x14ac:dyDescent="0.3">
      <c r="P247"/>
      <c r="Q247"/>
    </row>
    <row r="248" spans="16:17" x14ac:dyDescent="0.3">
      <c r="P248"/>
      <c r="Q248"/>
    </row>
    <row r="249" spans="16:17" x14ac:dyDescent="0.3">
      <c r="P249"/>
      <c r="Q249"/>
    </row>
    <row r="250" spans="16:17" x14ac:dyDescent="0.3">
      <c r="P250"/>
      <c r="Q250"/>
    </row>
    <row r="251" spans="16:17" x14ac:dyDescent="0.3">
      <c r="P251"/>
      <c r="Q251"/>
    </row>
    <row r="252" spans="16:17" x14ac:dyDescent="0.3">
      <c r="P252"/>
      <c r="Q252"/>
    </row>
    <row r="253" spans="16:17" x14ac:dyDescent="0.3">
      <c r="P253"/>
      <c r="Q253"/>
    </row>
    <row r="254" spans="16:17" x14ac:dyDescent="0.3">
      <c r="P254"/>
      <c r="Q254"/>
    </row>
    <row r="255" spans="16:17" x14ac:dyDescent="0.3">
      <c r="P255"/>
      <c r="Q255"/>
    </row>
    <row r="256" spans="16:17" x14ac:dyDescent="0.3">
      <c r="P256"/>
      <c r="Q256"/>
    </row>
    <row r="257" spans="16:17" x14ac:dyDescent="0.3">
      <c r="P257"/>
      <c r="Q257"/>
    </row>
    <row r="258" spans="16:17" x14ac:dyDescent="0.3">
      <c r="P258"/>
      <c r="Q258"/>
    </row>
    <row r="259" spans="16:17" x14ac:dyDescent="0.3">
      <c r="P259"/>
      <c r="Q259"/>
    </row>
    <row r="260" spans="16:17" x14ac:dyDescent="0.3">
      <c r="P260"/>
      <c r="Q260"/>
    </row>
    <row r="261" spans="16:17" x14ac:dyDescent="0.3">
      <c r="P261"/>
      <c r="Q261"/>
    </row>
    <row r="262" spans="16:17" x14ac:dyDescent="0.3">
      <c r="P262"/>
      <c r="Q262"/>
    </row>
    <row r="263" spans="16:17" x14ac:dyDescent="0.3">
      <c r="P263"/>
      <c r="Q263"/>
    </row>
    <row r="264" spans="16:17" x14ac:dyDescent="0.3">
      <c r="P264"/>
      <c r="Q264"/>
    </row>
    <row r="265" spans="16:17" x14ac:dyDescent="0.3">
      <c r="P265"/>
      <c r="Q265"/>
    </row>
    <row r="266" spans="16:17" x14ac:dyDescent="0.3">
      <c r="P266"/>
      <c r="Q266"/>
    </row>
    <row r="267" spans="16:17" x14ac:dyDescent="0.3">
      <c r="P267"/>
      <c r="Q267"/>
    </row>
    <row r="268" spans="16:17" x14ac:dyDescent="0.3">
      <c r="P268"/>
      <c r="Q268"/>
    </row>
    <row r="269" spans="16:17" x14ac:dyDescent="0.3">
      <c r="P269"/>
      <c r="Q269"/>
    </row>
    <row r="270" spans="16:17" x14ac:dyDescent="0.3">
      <c r="P270"/>
      <c r="Q270"/>
    </row>
    <row r="271" spans="16:17" x14ac:dyDescent="0.3">
      <c r="P271"/>
      <c r="Q271"/>
    </row>
    <row r="272" spans="16:17" x14ac:dyDescent="0.3">
      <c r="P272"/>
      <c r="Q272"/>
    </row>
    <row r="273" spans="16:17" x14ac:dyDescent="0.3">
      <c r="P273"/>
      <c r="Q273"/>
    </row>
    <row r="274" spans="16:17" x14ac:dyDescent="0.3">
      <c r="P274"/>
      <c r="Q274"/>
    </row>
    <row r="275" spans="16:17" x14ac:dyDescent="0.3">
      <c r="P275"/>
      <c r="Q275"/>
    </row>
    <row r="276" spans="16:17" x14ac:dyDescent="0.3">
      <c r="P276"/>
      <c r="Q276"/>
    </row>
    <row r="277" spans="16:17" x14ac:dyDescent="0.3">
      <c r="P277"/>
      <c r="Q277"/>
    </row>
    <row r="278" spans="16:17" x14ac:dyDescent="0.3">
      <c r="P278"/>
      <c r="Q278"/>
    </row>
    <row r="279" spans="16:17" x14ac:dyDescent="0.3">
      <c r="P279"/>
      <c r="Q279"/>
    </row>
    <row r="280" spans="16:17" x14ac:dyDescent="0.3">
      <c r="P280"/>
      <c r="Q280"/>
    </row>
    <row r="281" spans="16:17" x14ac:dyDescent="0.3">
      <c r="P281"/>
      <c r="Q281"/>
    </row>
    <row r="282" spans="16:17" x14ac:dyDescent="0.3">
      <c r="P282"/>
      <c r="Q282"/>
    </row>
    <row r="283" spans="16:17" x14ac:dyDescent="0.3">
      <c r="P283"/>
      <c r="Q283"/>
    </row>
    <row r="284" spans="16:17" x14ac:dyDescent="0.3">
      <c r="P284"/>
      <c r="Q284"/>
    </row>
    <row r="285" spans="16:17" x14ac:dyDescent="0.3">
      <c r="P285"/>
      <c r="Q285"/>
    </row>
    <row r="286" spans="16:17" x14ac:dyDescent="0.3">
      <c r="P286"/>
      <c r="Q286"/>
    </row>
    <row r="287" spans="16:17" x14ac:dyDescent="0.3">
      <c r="P287"/>
      <c r="Q287"/>
    </row>
    <row r="288" spans="16:17" x14ac:dyDescent="0.3">
      <c r="P288"/>
      <c r="Q288"/>
    </row>
    <row r="289" spans="16:17" x14ac:dyDescent="0.3">
      <c r="P289"/>
      <c r="Q289"/>
    </row>
    <row r="290" spans="16:17" x14ac:dyDescent="0.3">
      <c r="P290"/>
      <c r="Q290"/>
    </row>
    <row r="291" spans="16:17" x14ac:dyDescent="0.3">
      <c r="P291"/>
      <c r="Q291"/>
    </row>
    <row r="292" spans="16:17" x14ac:dyDescent="0.3">
      <c r="P292"/>
      <c r="Q292"/>
    </row>
    <row r="293" spans="16:17" x14ac:dyDescent="0.3">
      <c r="P293"/>
      <c r="Q293"/>
    </row>
    <row r="294" spans="16:17" x14ac:dyDescent="0.3">
      <c r="P294"/>
      <c r="Q294"/>
    </row>
    <row r="295" spans="16:17" x14ac:dyDescent="0.3">
      <c r="P295"/>
      <c r="Q295"/>
    </row>
    <row r="296" spans="16:17" x14ac:dyDescent="0.3">
      <c r="P296"/>
      <c r="Q296"/>
    </row>
    <row r="297" spans="16:17" x14ac:dyDescent="0.3">
      <c r="P297"/>
      <c r="Q297"/>
    </row>
    <row r="298" spans="16:17" x14ac:dyDescent="0.3">
      <c r="P298"/>
      <c r="Q298"/>
    </row>
    <row r="299" spans="16:17" x14ac:dyDescent="0.3">
      <c r="P299"/>
      <c r="Q299"/>
    </row>
    <row r="300" spans="16:17" x14ac:dyDescent="0.3">
      <c r="P300"/>
      <c r="Q300"/>
    </row>
    <row r="301" spans="16:17" x14ac:dyDescent="0.3">
      <c r="P301"/>
      <c r="Q301"/>
    </row>
    <row r="302" spans="16:17" x14ac:dyDescent="0.3">
      <c r="P302"/>
      <c r="Q302"/>
    </row>
    <row r="303" spans="16:17" x14ac:dyDescent="0.3">
      <c r="P303"/>
      <c r="Q303"/>
    </row>
    <row r="304" spans="16:17" x14ac:dyDescent="0.3">
      <c r="P304"/>
      <c r="Q304"/>
    </row>
    <row r="305" spans="16:17" x14ac:dyDescent="0.3">
      <c r="P305"/>
      <c r="Q305"/>
    </row>
    <row r="306" spans="16:17" x14ac:dyDescent="0.3">
      <c r="P306"/>
      <c r="Q306"/>
    </row>
    <row r="307" spans="16:17" x14ac:dyDescent="0.3">
      <c r="P307"/>
      <c r="Q307"/>
    </row>
    <row r="308" spans="16:17" x14ac:dyDescent="0.3">
      <c r="P308"/>
      <c r="Q308"/>
    </row>
    <row r="309" spans="16:17" x14ac:dyDescent="0.3">
      <c r="P309"/>
      <c r="Q309"/>
    </row>
    <row r="310" spans="16:17" x14ac:dyDescent="0.3">
      <c r="P310"/>
      <c r="Q310"/>
    </row>
    <row r="311" spans="16:17" x14ac:dyDescent="0.3">
      <c r="P311"/>
      <c r="Q311"/>
    </row>
    <row r="312" spans="16:17" x14ac:dyDescent="0.3">
      <c r="P312"/>
      <c r="Q312"/>
    </row>
    <row r="313" spans="16:17" x14ac:dyDescent="0.3">
      <c r="P313"/>
      <c r="Q313"/>
    </row>
    <row r="314" spans="16:17" x14ac:dyDescent="0.3">
      <c r="P314"/>
      <c r="Q314"/>
    </row>
    <row r="315" spans="16:17" x14ac:dyDescent="0.3">
      <c r="P315"/>
      <c r="Q315"/>
    </row>
    <row r="316" spans="16:17" x14ac:dyDescent="0.3">
      <c r="P316"/>
      <c r="Q316"/>
    </row>
    <row r="317" spans="16:17" x14ac:dyDescent="0.3">
      <c r="P317"/>
      <c r="Q317"/>
    </row>
    <row r="318" spans="16:17" x14ac:dyDescent="0.3">
      <c r="P318"/>
      <c r="Q318"/>
    </row>
    <row r="319" spans="16:17" x14ac:dyDescent="0.3">
      <c r="P319"/>
      <c r="Q319"/>
    </row>
    <row r="320" spans="16:17" x14ac:dyDescent="0.3">
      <c r="P320"/>
      <c r="Q320"/>
    </row>
    <row r="321" spans="16:17" x14ac:dyDescent="0.3">
      <c r="P321"/>
      <c r="Q321"/>
    </row>
    <row r="322" spans="16:17" x14ac:dyDescent="0.3">
      <c r="P322"/>
      <c r="Q322"/>
    </row>
    <row r="323" spans="16:17" x14ac:dyDescent="0.3">
      <c r="P323"/>
      <c r="Q323"/>
    </row>
    <row r="324" spans="16:17" x14ac:dyDescent="0.3">
      <c r="P324"/>
      <c r="Q324"/>
    </row>
    <row r="325" spans="16:17" x14ac:dyDescent="0.3">
      <c r="P325"/>
      <c r="Q325"/>
    </row>
    <row r="326" spans="16:17" x14ac:dyDescent="0.3">
      <c r="P326"/>
      <c r="Q326"/>
    </row>
    <row r="327" spans="16:17" x14ac:dyDescent="0.3">
      <c r="P327"/>
      <c r="Q327"/>
    </row>
    <row r="328" spans="16:17" x14ac:dyDescent="0.3">
      <c r="P328"/>
      <c r="Q328"/>
    </row>
    <row r="329" spans="16:17" x14ac:dyDescent="0.3">
      <c r="P329"/>
      <c r="Q329"/>
    </row>
    <row r="330" spans="16:17" x14ac:dyDescent="0.3">
      <c r="P330"/>
      <c r="Q330"/>
    </row>
    <row r="331" spans="16:17" x14ac:dyDescent="0.3">
      <c r="P331"/>
      <c r="Q331"/>
    </row>
    <row r="332" spans="16:17" x14ac:dyDescent="0.3">
      <c r="P332"/>
      <c r="Q332"/>
    </row>
    <row r="333" spans="16:17" x14ac:dyDescent="0.3">
      <c r="P333"/>
      <c r="Q333"/>
    </row>
    <row r="334" spans="16:17" x14ac:dyDescent="0.3">
      <c r="P334"/>
      <c r="Q334"/>
    </row>
    <row r="335" spans="16:17" x14ac:dyDescent="0.3">
      <c r="P335"/>
      <c r="Q335"/>
    </row>
    <row r="336" spans="16:17" x14ac:dyDescent="0.3">
      <c r="P336"/>
      <c r="Q336"/>
    </row>
    <row r="337" spans="16:17" x14ac:dyDescent="0.3">
      <c r="P337"/>
      <c r="Q337"/>
    </row>
    <row r="338" spans="16:17" x14ac:dyDescent="0.3">
      <c r="P338"/>
      <c r="Q338"/>
    </row>
    <row r="339" spans="16:17" x14ac:dyDescent="0.3">
      <c r="P339"/>
      <c r="Q339"/>
    </row>
    <row r="340" spans="16:17" x14ac:dyDescent="0.3">
      <c r="P340"/>
      <c r="Q340"/>
    </row>
    <row r="341" spans="16:17" x14ac:dyDescent="0.3">
      <c r="P341"/>
      <c r="Q341"/>
    </row>
    <row r="342" spans="16:17" x14ac:dyDescent="0.3">
      <c r="P342"/>
      <c r="Q342"/>
    </row>
    <row r="343" spans="16:17" x14ac:dyDescent="0.3">
      <c r="P343"/>
      <c r="Q343"/>
    </row>
    <row r="344" spans="16:17" x14ac:dyDescent="0.3">
      <c r="P344"/>
      <c r="Q344"/>
    </row>
    <row r="345" spans="16:17" x14ac:dyDescent="0.3">
      <c r="P345"/>
      <c r="Q345"/>
    </row>
    <row r="346" spans="16:17" x14ac:dyDescent="0.3">
      <c r="P346"/>
      <c r="Q346"/>
    </row>
    <row r="347" spans="16:17" x14ac:dyDescent="0.3">
      <c r="P347"/>
      <c r="Q347"/>
    </row>
    <row r="348" spans="16:17" x14ac:dyDescent="0.3">
      <c r="P348"/>
      <c r="Q348"/>
    </row>
    <row r="349" spans="16:17" x14ac:dyDescent="0.3">
      <c r="P349"/>
      <c r="Q349"/>
    </row>
    <row r="350" spans="16:17" x14ac:dyDescent="0.3">
      <c r="P350"/>
      <c r="Q350"/>
    </row>
    <row r="351" spans="16:17" x14ac:dyDescent="0.3">
      <c r="P351"/>
      <c r="Q351"/>
    </row>
    <row r="352" spans="16:17" x14ac:dyDescent="0.3">
      <c r="P352"/>
      <c r="Q352"/>
    </row>
  </sheetData>
  <mergeCells count="9">
    <mergeCell ref="N23:O23"/>
    <mergeCell ref="N37:O37"/>
    <mergeCell ref="K47:L47"/>
    <mergeCell ref="B1:O1"/>
    <mergeCell ref="B3:G3"/>
    <mergeCell ref="K3:O3"/>
    <mergeCell ref="B12:C12"/>
    <mergeCell ref="K21:K22"/>
    <mergeCell ref="L21:L22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DDD6-142F-4923-958F-D7B435980A86}">
  <dimension ref="B1:AN352"/>
  <sheetViews>
    <sheetView zoomScaleNormal="100" workbookViewId="0">
      <selection activeCell="F33" sqref="F33"/>
    </sheetView>
  </sheetViews>
  <sheetFormatPr defaultColWidth="9.33203125" defaultRowHeight="14.4" x14ac:dyDescent="0.3"/>
  <cols>
    <col min="1" max="1" width="1.6640625" customWidth="1"/>
    <col min="2" max="2" width="35.6640625" bestFit="1" customWidth="1"/>
    <col min="3" max="3" width="15.44140625" customWidth="1"/>
    <col min="4" max="5" width="11.33203125" customWidth="1"/>
    <col min="6" max="6" width="32.44140625" bestFit="1" customWidth="1"/>
    <col min="7" max="7" width="10.33203125" customWidth="1"/>
    <col min="8" max="8" width="1.6640625" customWidth="1"/>
    <col min="9" max="10" width="2" customWidth="1"/>
    <col min="11" max="11" width="22.6640625" bestFit="1" customWidth="1"/>
    <col min="12" max="12" width="14.44140625" bestFit="1" customWidth="1"/>
    <col min="13" max="13" width="15.33203125" customWidth="1"/>
    <col min="14" max="14" width="22.6640625" bestFit="1" customWidth="1"/>
    <col min="15" max="15" width="14.44140625" bestFit="1" customWidth="1"/>
    <col min="16" max="16" width="11.44140625" style="1" bestFit="1" customWidth="1"/>
    <col min="17" max="17" width="18.44140625" style="1" bestFit="1" customWidth="1"/>
    <col min="18" max="18" width="18.44140625" hidden="1" customWidth="1"/>
    <col min="19" max="19" width="5.6640625" hidden="1" customWidth="1"/>
    <col min="20" max="39" width="12.33203125" bestFit="1" customWidth="1"/>
    <col min="40" max="40" width="13" bestFit="1" customWidth="1"/>
  </cols>
  <sheetData>
    <row r="1" spans="2:19" ht="28.8" x14ac:dyDescent="0.3"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15" thickBot="1" x14ac:dyDescent="0.35"/>
    <row r="3" spans="2:19" ht="18.600000000000001" thickBot="1" x14ac:dyDescent="0.4">
      <c r="B3" s="45" t="s">
        <v>78</v>
      </c>
      <c r="C3" s="45"/>
      <c r="D3" s="45"/>
      <c r="E3" s="45"/>
      <c r="F3" s="45"/>
      <c r="G3" s="45"/>
      <c r="K3" s="46" t="s">
        <v>65</v>
      </c>
      <c r="L3" s="47"/>
      <c r="M3" s="47"/>
      <c r="N3" s="47"/>
      <c r="O3" s="47"/>
      <c r="Q3"/>
    </row>
    <row r="4" spans="2:19" ht="15" thickBot="1" x14ac:dyDescent="0.35">
      <c r="C4" s="2"/>
      <c r="D4" s="2"/>
      <c r="E4" s="2"/>
      <c r="P4"/>
      <c r="Q4"/>
    </row>
    <row r="5" spans="2:19" ht="16.5" customHeight="1" thickBot="1" x14ac:dyDescent="0.35">
      <c r="B5" s="3" t="s">
        <v>1</v>
      </c>
      <c r="C5" s="4">
        <f>14+27+26+27</f>
        <v>94</v>
      </c>
      <c r="D5" s="5"/>
      <c r="E5" s="5" t="s">
        <v>2</v>
      </c>
      <c r="F5" s="6" t="s">
        <v>3</v>
      </c>
      <c r="G5" s="7" t="s">
        <v>4</v>
      </c>
      <c r="K5" s="6" t="s">
        <v>63</v>
      </c>
      <c r="L5" s="8" t="s">
        <v>5</v>
      </c>
      <c r="N5" s="6" t="s">
        <v>64</v>
      </c>
      <c r="O5" s="6"/>
      <c r="Q5"/>
      <c r="R5" s="9" t="s">
        <v>6</v>
      </c>
      <c r="S5" s="9" t="s">
        <v>7</v>
      </c>
    </row>
    <row r="6" spans="2:19" x14ac:dyDescent="0.3">
      <c r="B6" s="10" t="s">
        <v>8</v>
      </c>
      <c r="C6" s="11">
        <f>0+1+1+7</f>
        <v>9</v>
      </c>
      <c r="D6" s="5"/>
      <c r="E6" s="12"/>
      <c r="F6" s="13" t="s">
        <v>9</v>
      </c>
      <c r="G6" s="14">
        <v>1</v>
      </c>
      <c r="K6" s="15" t="s">
        <v>10</v>
      </c>
      <c r="L6" s="16">
        <f>3+2+4+13+2</f>
        <v>24</v>
      </c>
      <c r="N6" s="17" t="s">
        <v>9</v>
      </c>
      <c r="O6" s="14">
        <f>2+1</f>
        <v>3</v>
      </c>
      <c r="P6" s="18"/>
      <c r="Q6"/>
      <c r="R6" s="17" t="s">
        <v>11</v>
      </c>
      <c r="S6" s="19">
        <v>3</v>
      </c>
    </row>
    <row r="7" spans="2:19" ht="15" customHeight="1" x14ac:dyDescent="0.3">
      <c r="B7" s="10" t="s">
        <v>12</v>
      </c>
      <c r="C7" s="11">
        <f>8+17+12</f>
        <v>37</v>
      </c>
      <c r="D7" s="5"/>
      <c r="E7" s="12"/>
      <c r="F7" s="20" t="s">
        <v>11</v>
      </c>
      <c r="G7" s="14">
        <v>2</v>
      </c>
      <c r="K7" s="15" t="s">
        <v>13</v>
      </c>
      <c r="L7" s="16">
        <f>6+7+7+5</f>
        <v>25</v>
      </c>
      <c r="N7" s="21" t="s">
        <v>11</v>
      </c>
      <c r="O7" s="14">
        <f>2+2</f>
        <v>4</v>
      </c>
      <c r="P7" s="18"/>
      <c r="Q7"/>
      <c r="R7" s="21" t="s">
        <v>14</v>
      </c>
      <c r="S7" s="22">
        <v>6</v>
      </c>
    </row>
    <row r="8" spans="2:19" x14ac:dyDescent="0.3">
      <c r="B8" s="10" t="s">
        <v>15</v>
      </c>
      <c r="C8" s="23">
        <f>4+0+1</f>
        <v>5</v>
      </c>
      <c r="D8" s="12"/>
      <c r="E8" s="12"/>
      <c r="F8" s="21" t="s">
        <v>16</v>
      </c>
      <c r="G8" s="14">
        <v>4</v>
      </c>
      <c r="K8" s="15" t="s">
        <v>17</v>
      </c>
      <c r="L8" s="24"/>
      <c r="N8" s="21" t="s">
        <v>16</v>
      </c>
      <c r="O8" s="14">
        <f>4+1</f>
        <v>5</v>
      </c>
      <c r="P8" s="18"/>
      <c r="Q8"/>
      <c r="R8" s="21" t="s">
        <v>18</v>
      </c>
      <c r="S8" s="22">
        <v>6</v>
      </c>
    </row>
    <row r="9" spans="2:19" x14ac:dyDescent="0.3">
      <c r="B9" s="10" t="s">
        <v>19</v>
      </c>
      <c r="C9" s="23">
        <f>0+1</f>
        <v>1</v>
      </c>
      <c r="D9" s="12"/>
      <c r="E9" s="12"/>
      <c r="F9" s="21" t="s">
        <v>14</v>
      </c>
      <c r="G9" s="14">
        <v>0</v>
      </c>
      <c r="K9" s="15" t="s">
        <v>20</v>
      </c>
      <c r="L9" s="24"/>
      <c r="M9" s="18"/>
      <c r="N9" s="21" t="s">
        <v>14</v>
      </c>
      <c r="O9" s="14">
        <f>1</f>
        <v>1</v>
      </c>
      <c r="P9" s="18"/>
      <c r="Q9"/>
      <c r="R9" s="21" t="s">
        <v>21</v>
      </c>
      <c r="S9" s="22">
        <v>1</v>
      </c>
    </row>
    <row r="10" spans="2:19" x14ac:dyDescent="0.3">
      <c r="B10" s="10" t="s">
        <v>22</v>
      </c>
      <c r="C10" s="23">
        <f>6+7+7+5</f>
        <v>25</v>
      </c>
      <c r="D10" s="12"/>
      <c r="E10" s="12"/>
      <c r="F10" s="21" t="s">
        <v>27</v>
      </c>
      <c r="G10" s="14">
        <v>4</v>
      </c>
      <c r="K10" s="15" t="s">
        <v>24</v>
      </c>
      <c r="L10" s="24"/>
      <c r="N10" s="21" t="s">
        <v>27</v>
      </c>
      <c r="O10" s="14">
        <f>2</f>
        <v>2</v>
      </c>
      <c r="P10" s="18"/>
      <c r="R10" s="21" t="s">
        <v>25</v>
      </c>
      <c r="S10" s="22">
        <v>6</v>
      </c>
    </row>
    <row r="11" spans="2:19" ht="15" thickBot="1" x14ac:dyDescent="0.35">
      <c r="B11" s="25" t="s">
        <v>26</v>
      </c>
      <c r="C11" s="26">
        <f>4+4+1</f>
        <v>9</v>
      </c>
      <c r="D11" s="12"/>
      <c r="E11" s="12"/>
      <c r="F11" s="21" t="s">
        <v>30</v>
      </c>
      <c r="G11" s="14">
        <v>1</v>
      </c>
      <c r="K11" s="15" t="s">
        <v>28</v>
      </c>
      <c r="L11" s="24"/>
      <c r="N11" s="21" t="s">
        <v>30</v>
      </c>
      <c r="O11" s="14">
        <f>1+1</f>
        <v>2</v>
      </c>
      <c r="P11" s="18"/>
      <c r="R11" s="21" t="s">
        <v>29</v>
      </c>
      <c r="S11" s="22">
        <v>7</v>
      </c>
    </row>
    <row r="12" spans="2:19" ht="15" thickBot="1" x14ac:dyDescent="0.35">
      <c r="B12" s="48"/>
      <c r="C12" s="49"/>
      <c r="D12" s="12"/>
      <c r="F12" s="21" t="s">
        <v>59</v>
      </c>
      <c r="G12" s="14">
        <v>0</v>
      </c>
      <c r="K12" s="15" t="s">
        <v>31</v>
      </c>
      <c r="L12" s="24"/>
      <c r="N12" s="21" t="s">
        <v>59</v>
      </c>
      <c r="O12" s="14">
        <f>1</f>
        <v>1</v>
      </c>
      <c r="P12" s="18"/>
      <c r="R12" s="21" t="s">
        <v>32</v>
      </c>
      <c r="S12" s="22">
        <v>3</v>
      </c>
    </row>
    <row r="13" spans="2:19" ht="15" thickBot="1" x14ac:dyDescent="0.35">
      <c r="B13" s="27" t="s">
        <v>3</v>
      </c>
      <c r="C13" s="8" t="s">
        <v>7</v>
      </c>
      <c r="D13" s="12"/>
      <c r="F13" s="21" t="s">
        <v>58</v>
      </c>
      <c r="G13" s="14">
        <v>0</v>
      </c>
      <c r="K13" s="15" t="s">
        <v>34</v>
      </c>
      <c r="L13" s="24"/>
      <c r="N13" s="21" t="s">
        <v>58</v>
      </c>
      <c r="O13" s="14">
        <v>0</v>
      </c>
      <c r="P13" s="18"/>
      <c r="R13" s="21" t="s">
        <v>35</v>
      </c>
      <c r="S13" s="22">
        <v>1</v>
      </c>
    </row>
    <row r="14" spans="2:19" ht="15" thickBot="1" x14ac:dyDescent="0.35">
      <c r="B14" s="13" t="s">
        <v>9</v>
      </c>
      <c r="C14" s="28">
        <v>0</v>
      </c>
      <c r="F14" s="21" t="s">
        <v>33</v>
      </c>
      <c r="G14" s="14">
        <v>0</v>
      </c>
      <c r="K14" s="15" t="s">
        <v>37</v>
      </c>
      <c r="L14" s="24"/>
      <c r="N14" s="21" t="s">
        <v>38</v>
      </c>
      <c r="O14" s="14">
        <f>1+1+4+1</f>
        <v>7</v>
      </c>
      <c r="P14" s="18"/>
      <c r="R14" s="30" t="s">
        <v>39</v>
      </c>
      <c r="S14" s="22">
        <v>1</v>
      </c>
    </row>
    <row r="15" spans="2:19" ht="15" thickBot="1" x14ac:dyDescent="0.35">
      <c r="B15" s="20" t="s">
        <v>11</v>
      </c>
      <c r="C15" s="14">
        <v>0</v>
      </c>
      <c r="F15" s="21" t="s">
        <v>36</v>
      </c>
      <c r="G15" s="29">
        <v>1</v>
      </c>
      <c r="K15" s="15" t="s">
        <v>41</v>
      </c>
      <c r="L15" s="24"/>
      <c r="N15" s="21" t="s">
        <v>42</v>
      </c>
      <c r="O15" s="14">
        <f>2+1+1+1</f>
        <v>5</v>
      </c>
      <c r="P15" s="18"/>
      <c r="R15" s="32" t="s">
        <v>43</v>
      </c>
      <c r="S15" s="9">
        <v>34</v>
      </c>
    </row>
    <row r="16" spans="2:19" ht="15" customHeight="1" thickBot="1" x14ac:dyDescent="0.35">
      <c r="B16" s="20" t="s">
        <v>16</v>
      </c>
      <c r="C16" s="14">
        <v>1</v>
      </c>
      <c r="F16" s="31" t="s">
        <v>40</v>
      </c>
      <c r="G16" s="7">
        <f>SUM(G6:G15)</f>
        <v>13</v>
      </c>
      <c r="K16" s="15" t="s">
        <v>44</v>
      </c>
      <c r="L16" s="24"/>
      <c r="N16" s="33" t="s">
        <v>45</v>
      </c>
      <c r="O16" s="14">
        <f>1</f>
        <v>1</v>
      </c>
    </row>
    <row r="17" spans="2:38" ht="15" customHeight="1" thickBot="1" x14ac:dyDescent="0.35">
      <c r="B17" s="20" t="s">
        <v>14</v>
      </c>
      <c r="C17" s="14">
        <v>0</v>
      </c>
      <c r="K17" s="15" t="s">
        <v>46</v>
      </c>
      <c r="L17" s="24"/>
      <c r="N17" s="21" t="s">
        <v>21</v>
      </c>
      <c r="O17" s="14">
        <v>0</v>
      </c>
    </row>
    <row r="18" spans="2:38" ht="15" thickBot="1" x14ac:dyDescent="0.35">
      <c r="B18" s="20" t="s">
        <v>23</v>
      </c>
      <c r="C18" s="14">
        <v>0</v>
      </c>
      <c r="F18" s="1"/>
      <c r="K18" s="7" t="s">
        <v>63</v>
      </c>
      <c r="L18" s="34">
        <f>SUM(L6:L17)</f>
        <v>49</v>
      </c>
      <c r="N18" s="21" t="s">
        <v>47</v>
      </c>
      <c r="O18" s="14">
        <f>3+1+3+7+4</f>
        <v>18</v>
      </c>
    </row>
    <row r="19" spans="2:38" ht="15" thickBot="1" x14ac:dyDescent="0.35">
      <c r="B19" s="21" t="s">
        <v>27</v>
      </c>
      <c r="C19" s="14">
        <v>0</v>
      </c>
      <c r="N19" s="7" t="s">
        <v>48</v>
      </c>
      <c r="O19" s="7">
        <f>SUM(O6:O18)</f>
        <v>49</v>
      </c>
    </row>
    <row r="20" spans="2:38" ht="15" customHeight="1" thickBot="1" x14ac:dyDescent="0.35">
      <c r="B20" s="21" t="s">
        <v>30</v>
      </c>
      <c r="C20" s="14">
        <v>0</v>
      </c>
      <c r="N20" s="35"/>
      <c r="O20" s="35"/>
    </row>
    <row r="21" spans="2:38" ht="15" customHeight="1" x14ac:dyDescent="0.3">
      <c r="B21" s="20" t="s">
        <v>59</v>
      </c>
      <c r="C21" s="14">
        <v>0</v>
      </c>
      <c r="K21" s="50" t="s">
        <v>49</v>
      </c>
      <c r="L21" s="52">
        <f>L18/2</f>
        <v>24.5</v>
      </c>
      <c r="N21" s="35"/>
      <c r="O21" s="35"/>
    </row>
    <row r="22" spans="2:38" s="1" customFormat="1" ht="15" customHeight="1" thickBot="1" x14ac:dyDescent="0.35">
      <c r="B22" s="20" t="s">
        <v>58</v>
      </c>
      <c r="C22" s="14">
        <v>0</v>
      </c>
      <c r="D22"/>
      <c r="F22" s="36"/>
      <c r="G22"/>
      <c r="K22" s="51"/>
      <c r="L22" s="53"/>
      <c r="N22"/>
      <c r="O22"/>
      <c r="R22"/>
      <c r="S22"/>
    </row>
    <row r="23" spans="2:38" s="1" customFormat="1" ht="15" customHeight="1" thickBot="1" x14ac:dyDescent="0.35">
      <c r="B23" s="20" t="s">
        <v>25</v>
      </c>
      <c r="C23" s="14">
        <v>0</v>
      </c>
      <c r="D23"/>
      <c r="F23"/>
      <c r="G23"/>
      <c r="N23" s="40" t="s">
        <v>61</v>
      </c>
      <c r="O23" s="41"/>
      <c r="R23"/>
      <c r="S23"/>
    </row>
    <row r="24" spans="2:38" s="1" customFormat="1" ht="15" customHeight="1" x14ac:dyDescent="0.3">
      <c r="B24" s="20" t="s">
        <v>42</v>
      </c>
      <c r="C24" s="14">
        <v>0</v>
      </c>
      <c r="F24"/>
      <c r="G24"/>
      <c r="N24" s="17" t="s">
        <v>9</v>
      </c>
      <c r="O24" s="14">
        <f>3+2+1+1+2+2+1+1</f>
        <v>13</v>
      </c>
      <c r="R24"/>
      <c r="S24"/>
    </row>
    <row r="25" spans="2:38" s="1" customFormat="1" ht="15" customHeight="1" x14ac:dyDescent="0.3">
      <c r="B25" s="20" t="s">
        <v>50</v>
      </c>
      <c r="C25" s="14">
        <v>0</v>
      </c>
      <c r="F25"/>
      <c r="G25"/>
      <c r="N25" s="21" t="s">
        <v>11</v>
      </c>
      <c r="O25" s="14">
        <f>2+4+5+1+0+1+6+2</f>
        <v>21</v>
      </c>
      <c r="R25"/>
      <c r="S25"/>
    </row>
    <row r="26" spans="2:38" s="1" customFormat="1" ht="15" customHeight="1" x14ac:dyDescent="0.3">
      <c r="B26" s="20" t="s">
        <v>21</v>
      </c>
      <c r="C26" s="14">
        <v>0</v>
      </c>
      <c r="G26"/>
      <c r="N26" s="21" t="s">
        <v>16</v>
      </c>
      <c r="O26" s="14">
        <f>4+9+0+8+2+5+3+4</f>
        <v>35</v>
      </c>
      <c r="P26" s="39"/>
    </row>
    <row r="27" spans="2:38" s="1" customFormat="1" x14ac:dyDescent="0.3">
      <c r="B27" s="21" t="s">
        <v>75</v>
      </c>
      <c r="C27" s="14">
        <v>0</v>
      </c>
      <c r="G27"/>
      <c r="N27" s="21" t="s">
        <v>14</v>
      </c>
      <c r="O27" s="14">
        <f>1+0+0+0+0+0+0+0</f>
        <v>1</v>
      </c>
      <c r="Q27"/>
    </row>
    <row r="28" spans="2:38" s="1" customFormat="1" x14ac:dyDescent="0.3">
      <c r="B28" s="21" t="s">
        <v>77</v>
      </c>
      <c r="C28" s="14">
        <v>4</v>
      </c>
      <c r="E28" s="37"/>
      <c r="F28"/>
      <c r="G28"/>
      <c r="N28" s="21" t="s">
        <v>27</v>
      </c>
      <c r="O28" s="14">
        <f>1+3+3+4+4+1+2+5+4</f>
        <v>27</v>
      </c>
      <c r="Q28"/>
    </row>
    <row r="29" spans="2:38" s="1" customFormat="1" x14ac:dyDescent="0.3">
      <c r="B29" s="21" t="s">
        <v>74</v>
      </c>
      <c r="C29" s="14">
        <v>0</v>
      </c>
      <c r="F29"/>
      <c r="G29"/>
      <c r="N29" s="21" t="s">
        <v>30</v>
      </c>
      <c r="O29" s="14">
        <f>4+3+2+4+2+0+0+1</f>
        <v>16</v>
      </c>
      <c r="Q29"/>
    </row>
    <row r="30" spans="2:38" s="1" customFormat="1" x14ac:dyDescent="0.3">
      <c r="B30" s="21" t="s">
        <v>53</v>
      </c>
      <c r="C30" s="14">
        <v>0</v>
      </c>
      <c r="F30"/>
      <c r="G30"/>
      <c r="N30" s="21" t="s">
        <v>59</v>
      </c>
      <c r="O30" s="14">
        <f>1+0+0+1+1+0+0</f>
        <v>3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2:38" s="1" customFormat="1" x14ac:dyDescent="0.3">
      <c r="B31" s="21" t="s">
        <v>54</v>
      </c>
      <c r="C31" s="14">
        <v>0</v>
      </c>
      <c r="N31" s="21" t="s">
        <v>58</v>
      </c>
      <c r="O31" s="14">
        <f>0+0+0+0</f>
        <v>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2:38" s="1" customFormat="1" ht="15" thickBot="1" x14ac:dyDescent="0.35">
      <c r="B32" s="30" t="s">
        <v>55</v>
      </c>
      <c r="C32" s="14">
        <v>0</v>
      </c>
      <c r="N32" s="21" t="s">
        <v>33</v>
      </c>
      <c r="O32" s="14">
        <f>0+1+2+0+3+2+0</f>
        <v>8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2:40" s="1" customFormat="1" ht="15" thickBot="1" x14ac:dyDescent="0.35">
      <c r="B33" s="38" t="s">
        <v>56</v>
      </c>
      <c r="C33" s="7">
        <f>SUM(C14:C32)</f>
        <v>5</v>
      </c>
      <c r="N33" s="21" t="s">
        <v>47</v>
      </c>
      <c r="O33" s="14">
        <f>0+6+4+4+1+0+1</f>
        <v>16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2:40" s="1" customFormat="1" ht="15" thickBot="1" x14ac:dyDescent="0.35">
      <c r="N34" s="7" t="s">
        <v>48</v>
      </c>
      <c r="O34" s="7">
        <f>SUM(O24:O33)</f>
        <v>140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2:40" s="1" customFormat="1" x14ac:dyDescent="0.3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2:40" s="1" customFormat="1" ht="15" thickBot="1" x14ac:dyDescent="0.3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s="1" customFormat="1" ht="15" thickBot="1" x14ac:dyDescent="0.35">
      <c r="K37"/>
      <c r="L37"/>
      <c r="N37" s="40" t="s">
        <v>62</v>
      </c>
      <c r="O37" s="4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2:40" s="1" customFormat="1" x14ac:dyDescent="0.3">
      <c r="K38"/>
      <c r="L38"/>
      <c r="N38" s="17" t="s">
        <v>9</v>
      </c>
      <c r="O38" s="14">
        <f>5+1+6+5+4+6+3+6</f>
        <v>36</v>
      </c>
      <c r="R38"/>
      <c r="S38"/>
    </row>
    <row r="39" spans="2:40" x14ac:dyDescent="0.3">
      <c r="B39" s="1"/>
      <c r="C39" s="1"/>
      <c r="D39" s="1"/>
      <c r="F39" s="1"/>
      <c r="G39" s="1"/>
      <c r="N39" s="21" t="s">
        <v>11</v>
      </c>
      <c r="O39" s="14">
        <f>1+6+6+2+0+6+4+2</f>
        <v>27</v>
      </c>
    </row>
    <row r="40" spans="2:40" s="1" customFormat="1" x14ac:dyDescent="0.3">
      <c r="K40"/>
      <c r="L40"/>
      <c r="N40" s="21" t="s">
        <v>16</v>
      </c>
      <c r="O40" s="14">
        <f>4+4+5+6+3+3+5+3</f>
        <v>33</v>
      </c>
      <c r="P40" s="39"/>
      <c r="R40"/>
      <c r="S40"/>
    </row>
    <row r="41" spans="2:40" x14ac:dyDescent="0.3">
      <c r="B41" s="1"/>
      <c r="C41" s="1"/>
      <c r="F41" s="1"/>
      <c r="G41" s="1"/>
      <c r="N41" s="21" t="s">
        <v>14</v>
      </c>
      <c r="O41" s="14">
        <f>1+3+0+1+0+1</f>
        <v>6</v>
      </c>
    </row>
    <row r="42" spans="2:40" s="1" customFormat="1" x14ac:dyDescent="0.3">
      <c r="F42"/>
      <c r="G42"/>
      <c r="K42"/>
      <c r="L42"/>
      <c r="N42" s="21" t="s">
        <v>27</v>
      </c>
      <c r="O42" s="14">
        <f>4+5+3+4+5+7+6</f>
        <v>34</v>
      </c>
      <c r="R42"/>
      <c r="S42"/>
    </row>
    <row r="43" spans="2:40" x14ac:dyDescent="0.3">
      <c r="B43" s="1"/>
      <c r="C43" s="1"/>
      <c r="N43" s="21" t="s">
        <v>30</v>
      </c>
      <c r="O43" s="14">
        <f>1+3+5+4+6+1+2+3+4</f>
        <v>29</v>
      </c>
      <c r="Q43"/>
    </row>
    <row r="44" spans="2:40" x14ac:dyDescent="0.3">
      <c r="C44" s="1"/>
      <c r="D44" s="1"/>
      <c r="N44" s="21" t="s">
        <v>59</v>
      </c>
      <c r="O44" s="14">
        <f>1+3+0+2+2+3+2+2</f>
        <v>15</v>
      </c>
      <c r="Q44"/>
    </row>
    <row r="45" spans="2:40" x14ac:dyDescent="0.3">
      <c r="N45" s="21" t="s">
        <v>58</v>
      </c>
      <c r="O45" s="14">
        <f>1+0+0+0+0+0+0</f>
        <v>1</v>
      </c>
      <c r="Q45"/>
    </row>
    <row r="46" spans="2:40" ht="15" customHeight="1" x14ac:dyDescent="0.3">
      <c r="N46" s="21" t="s">
        <v>33</v>
      </c>
      <c r="O46" s="14">
        <f>0+3+2+0+2+2+4</f>
        <v>13</v>
      </c>
      <c r="Q46"/>
    </row>
    <row r="47" spans="2:40" ht="15" thickBot="1" x14ac:dyDescent="0.35">
      <c r="K47" s="42"/>
      <c r="L47" s="42"/>
      <c r="N47" s="21" t="s">
        <v>47</v>
      </c>
      <c r="O47" s="14">
        <f>1+11+0+0+0+1+6</f>
        <v>19</v>
      </c>
      <c r="Q47"/>
    </row>
    <row r="48" spans="2:40" ht="15" thickBot="1" x14ac:dyDescent="0.35">
      <c r="N48" s="7" t="s">
        <v>48</v>
      </c>
      <c r="O48" s="7">
        <f>SUM(O38:O47)</f>
        <v>213</v>
      </c>
      <c r="P48"/>
      <c r="Q48"/>
    </row>
    <row r="49" spans="16:17" x14ac:dyDescent="0.3">
      <c r="P49"/>
      <c r="Q49"/>
    </row>
    <row r="50" spans="16:17" x14ac:dyDescent="0.3">
      <c r="P50"/>
      <c r="Q50"/>
    </row>
    <row r="51" spans="16:17" x14ac:dyDescent="0.3">
      <c r="P51"/>
      <c r="Q51"/>
    </row>
    <row r="52" spans="16:17" x14ac:dyDescent="0.3">
      <c r="P52"/>
      <c r="Q52"/>
    </row>
    <row r="53" spans="16:17" x14ac:dyDescent="0.3">
      <c r="P53"/>
      <c r="Q53"/>
    </row>
    <row r="54" spans="16:17" x14ac:dyDescent="0.3">
      <c r="P54"/>
      <c r="Q54"/>
    </row>
    <row r="55" spans="16:17" x14ac:dyDescent="0.3">
      <c r="P55"/>
      <c r="Q55"/>
    </row>
    <row r="56" spans="16:17" x14ac:dyDescent="0.3">
      <c r="P56"/>
      <c r="Q56"/>
    </row>
    <row r="57" spans="16:17" x14ac:dyDescent="0.3">
      <c r="P57"/>
      <c r="Q57"/>
    </row>
    <row r="58" spans="16:17" x14ac:dyDescent="0.3">
      <c r="P58"/>
      <c r="Q58"/>
    </row>
    <row r="59" spans="16:17" x14ac:dyDescent="0.3">
      <c r="P59"/>
      <c r="Q59"/>
    </row>
    <row r="60" spans="16:17" x14ac:dyDescent="0.3">
      <c r="P60"/>
      <c r="Q60"/>
    </row>
    <row r="61" spans="16:17" x14ac:dyDescent="0.3">
      <c r="P61"/>
      <c r="Q61"/>
    </row>
    <row r="62" spans="16:17" x14ac:dyDescent="0.3">
      <c r="P62"/>
      <c r="Q62"/>
    </row>
    <row r="63" spans="16:17" x14ac:dyDescent="0.3">
      <c r="P63"/>
      <c r="Q63"/>
    </row>
    <row r="64" spans="16:17" x14ac:dyDescent="0.3">
      <c r="P64"/>
      <c r="Q64"/>
    </row>
    <row r="65" spans="16:17" x14ac:dyDescent="0.3">
      <c r="P65"/>
      <c r="Q65"/>
    </row>
    <row r="66" spans="16:17" x14ac:dyDescent="0.3">
      <c r="P66"/>
      <c r="Q66"/>
    </row>
    <row r="67" spans="16:17" x14ac:dyDescent="0.3">
      <c r="P67"/>
      <c r="Q67"/>
    </row>
    <row r="68" spans="16:17" x14ac:dyDescent="0.3">
      <c r="P68"/>
      <c r="Q68"/>
    </row>
    <row r="69" spans="16:17" x14ac:dyDescent="0.3">
      <c r="P69"/>
      <c r="Q69"/>
    </row>
    <row r="70" spans="16:17" x14ac:dyDescent="0.3">
      <c r="P70"/>
      <c r="Q70"/>
    </row>
    <row r="71" spans="16:17" x14ac:dyDescent="0.3">
      <c r="P71"/>
      <c r="Q71"/>
    </row>
    <row r="72" spans="16:17" x14ac:dyDescent="0.3">
      <c r="P72"/>
      <c r="Q72"/>
    </row>
    <row r="73" spans="16:17" x14ac:dyDescent="0.3">
      <c r="P73"/>
      <c r="Q73"/>
    </row>
    <row r="74" spans="16:17" x14ac:dyDescent="0.3">
      <c r="P74"/>
      <c r="Q74"/>
    </row>
    <row r="75" spans="16:17" x14ac:dyDescent="0.3">
      <c r="P75"/>
      <c r="Q75"/>
    </row>
    <row r="76" spans="16:17" x14ac:dyDescent="0.3">
      <c r="P76"/>
      <c r="Q76"/>
    </row>
    <row r="77" spans="16:17" x14ac:dyDescent="0.3">
      <c r="P77"/>
      <c r="Q77"/>
    </row>
    <row r="78" spans="16:17" x14ac:dyDescent="0.3">
      <c r="P78"/>
      <c r="Q78"/>
    </row>
    <row r="79" spans="16:17" x14ac:dyDescent="0.3">
      <c r="P79"/>
      <c r="Q79"/>
    </row>
    <row r="80" spans="16:17" x14ac:dyDescent="0.3">
      <c r="P80"/>
      <c r="Q80"/>
    </row>
    <row r="81" spans="16:17" x14ac:dyDescent="0.3">
      <c r="P81"/>
      <c r="Q81"/>
    </row>
    <row r="82" spans="16:17" x14ac:dyDescent="0.3">
      <c r="P82"/>
      <c r="Q82"/>
    </row>
    <row r="83" spans="16:17" x14ac:dyDescent="0.3">
      <c r="P83"/>
      <c r="Q83"/>
    </row>
    <row r="84" spans="16:17" x14ac:dyDescent="0.3">
      <c r="P84"/>
      <c r="Q84"/>
    </row>
    <row r="85" spans="16:17" x14ac:dyDescent="0.3">
      <c r="P85"/>
      <c r="Q85"/>
    </row>
    <row r="86" spans="16:17" x14ac:dyDescent="0.3">
      <c r="P86"/>
      <c r="Q86"/>
    </row>
    <row r="87" spans="16:17" x14ac:dyDescent="0.3">
      <c r="P87"/>
      <c r="Q87"/>
    </row>
    <row r="88" spans="16:17" x14ac:dyDescent="0.3">
      <c r="P88"/>
      <c r="Q88"/>
    </row>
    <row r="89" spans="16:17" x14ac:dyDescent="0.3">
      <c r="P89"/>
      <c r="Q89"/>
    </row>
    <row r="90" spans="16:17" x14ac:dyDescent="0.3">
      <c r="P90"/>
      <c r="Q90"/>
    </row>
    <row r="91" spans="16:17" x14ac:dyDescent="0.3">
      <c r="P91"/>
      <c r="Q91"/>
    </row>
    <row r="92" spans="16:17" x14ac:dyDescent="0.3">
      <c r="P92"/>
      <c r="Q92"/>
    </row>
    <row r="93" spans="16:17" x14ac:dyDescent="0.3">
      <c r="P93"/>
      <c r="Q93"/>
    </row>
    <row r="94" spans="16:17" x14ac:dyDescent="0.3">
      <c r="P94"/>
      <c r="Q94"/>
    </row>
    <row r="95" spans="16:17" x14ac:dyDescent="0.3">
      <c r="P95"/>
      <c r="Q95"/>
    </row>
    <row r="96" spans="16:17" x14ac:dyDescent="0.3">
      <c r="P96"/>
      <c r="Q96"/>
    </row>
    <row r="97" spans="16:17" x14ac:dyDescent="0.3">
      <c r="P97"/>
      <c r="Q97"/>
    </row>
    <row r="98" spans="16:17" x14ac:dyDescent="0.3">
      <c r="P98"/>
      <c r="Q98"/>
    </row>
    <row r="99" spans="16:17" x14ac:dyDescent="0.3">
      <c r="P99"/>
      <c r="Q99"/>
    </row>
    <row r="100" spans="16:17" x14ac:dyDescent="0.3">
      <c r="P100"/>
      <c r="Q100"/>
    </row>
    <row r="101" spans="16:17" x14ac:dyDescent="0.3">
      <c r="P101"/>
      <c r="Q101"/>
    </row>
    <row r="102" spans="16:17" x14ac:dyDescent="0.3">
      <c r="P102"/>
      <c r="Q102"/>
    </row>
    <row r="103" spans="16:17" x14ac:dyDescent="0.3">
      <c r="P103"/>
      <c r="Q103"/>
    </row>
    <row r="104" spans="16:17" x14ac:dyDescent="0.3">
      <c r="P104"/>
      <c r="Q104"/>
    </row>
    <row r="105" spans="16:17" x14ac:dyDescent="0.3">
      <c r="P105"/>
      <c r="Q105"/>
    </row>
    <row r="106" spans="16:17" x14ac:dyDescent="0.3">
      <c r="P106"/>
      <c r="Q106"/>
    </row>
    <row r="107" spans="16:17" x14ac:dyDescent="0.3">
      <c r="P107"/>
      <c r="Q107"/>
    </row>
    <row r="108" spans="16:17" x14ac:dyDescent="0.3">
      <c r="P108"/>
      <c r="Q108"/>
    </row>
    <row r="109" spans="16:17" x14ac:dyDescent="0.3">
      <c r="P109"/>
      <c r="Q109"/>
    </row>
    <row r="110" spans="16:17" x14ac:dyDescent="0.3">
      <c r="P110"/>
      <c r="Q110"/>
    </row>
    <row r="111" spans="16:17" x14ac:dyDescent="0.3">
      <c r="P111"/>
      <c r="Q111"/>
    </row>
    <row r="112" spans="16:17" x14ac:dyDescent="0.3">
      <c r="P112"/>
      <c r="Q112"/>
    </row>
    <row r="113" spans="16:17" x14ac:dyDescent="0.3">
      <c r="P113"/>
      <c r="Q113"/>
    </row>
    <row r="114" spans="16:17" x14ac:dyDescent="0.3">
      <c r="P114"/>
      <c r="Q114"/>
    </row>
    <row r="115" spans="16:17" x14ac:dyDescent="0.3">
      <c r="P115"/>
      <c r="Q115"/>
    </row>
    <row r="116" spans="16:17" x14ac:dyDescent="0.3">
      <c r="P116"/>
      <c r="Q116"/>
    </row>
    <row r="117" spans="16:17" x14ac:dyDescent="0.3">
      <c r="P117"/>
      <c r="Q117"/>
    </row>
    <row r="118" spans="16:17" x14ac:dyDescent="0.3">
      <c r="P118"/>
      <c r="Q118"/>
    </row>
    <row r="119" spans="16:17" x14ac:dyDescent="0.3">
      <c r="P119"/>
      <c r="Q119"/>
    </row>
    <row r="120" spans="16:17" x14ac:dyDescent="0.3">
      <c r="P120"/>
      <c r="Q120"/>
    </row>
    <row r="121" spans="16:17" x14ac:dyDescent="0.3">
      <c r="P121"/>
      <c r="Q121"/>
    </row>
    <row r="122" spans="16:17" x14ac:dyDescent="0.3">
      <c r="P122"/>
      <c r="Q122"/>
    </row>
    <row r="123" spans="16:17" x14ac:dyDescent="0.3">
      <c r="P123"/>
      <c r="Q123"/>
    </row>
    <row r="124" spans="16:17" x14ac:dyDescent="0.3">
      <c r="P124"/>
      <c r="Q124"/>
    </row>
    <row r="125" spans="16:17" x14ac:dyDescent="0.3">
      <c r="P125"/>
      <c r="Q125"/>
    </row>
    <row r="126" spans="16:17" x14ac:dyDescent="0.3">
      <c r="P126"/>
      <c r="Q126"/>
    </row>
    <row r="127" spans="16:17" x14ac:dyDescent="0.3">
      <c r="P127"/>
      <c r="Q127"/>
    </row>
    <row r="128" spans="16:17" x14ac:dyDescent="0.3">
      <c r="P128"/>
      <c r="Q128"/>
    </row>
    <row r="129" spans="16:17" x14ac:dyDescent="0.3">
      <c r="P129"/>
      <c r="Q129"/>
    </row>
    <row r="130" spans="16:17" x14ac:dyDescent="0.3">
      <c r="P130"/>
      <c r="Q130"/>
    </row>
    <row r="131" spans="16:17" x14ac:dyDescent="0.3">
      <c r="P131"/>
      <c r="Q131"/>
    </row>
    <row r="132" spans="16:17" x14ac:dyDescent="0.3">
      <c r="P132"/>
      <c r="Q132"/>
    </row>
    <row r="133" spans="16:17" x14ac:dyDescent="0.3">
      <c r="P133"/>
      <c r="Q133"/>
    </row>
    <row r="134" spans="16:17" x14ac:dyDescent="0.3">
      <c r="P134"/>
      <c r="Q134"/>
    </row>
    <row r="135" spans="16:17" x14ac:dyDescent="0.3">
      <c r="P135"/>
      <c r="Q135"/>
    </row>
    <row r="136" spans="16:17" x14ac:dyDescent="0.3">
      <c r="P136"/>
      <c r="Q136"/>
    </row>
    <row r="137" spans="16:17" x14ac:dyDescent="0.3">
      <c r="P137"/>
      <c r="Q137"/>
    </row>
    <row r="138" spans="16:17" x14ac:dyDescent="0.3">
      <c r="P138"/>
      <c r="Q138"/>
    </row>
    <row r="139" spans="16:17" x14ac:dyDescent="0.3">
      <c r="P139"/>
      <c r="Q139"/>
    </row>
    <row r="140" spans="16:17" x14ac:dyDescent="0.3">
      <c r="P140"/>
      <c r="Q140"/>
    </row>
    <row r="141" spans="16:17" x14ac:dyDescent="0.3">
      <c r="P141"/>
      <c r="Q141"/>
    </row>
    <row r="142" spans="16:17" x14ac:dyDescent="0.3">
      <c r="P142"/>
      <c r="Q142"/>
    </row>
    <row r="143" spans="16:17" x14ac:dyDescent="0.3">
      <c r="P143"/>
      <c r="Q143"/>
    </row>
    <row r="144" spans="16:17" x14ac:dyDescent="0.3">
      <c r="P144"/>
      <c r="Q144"/>
    </row>
    <row r="145" spans="16:17" x14ac:dyDescent="0.3">
      <c r="P145"/>
      <c r="Q145"/>
    </row>
    <row r="146" spans="16:17" x14ac:dyDescent="0.3">
      <c r="P146"/>
      <c r="Q146"/>
    </row>
    <row r="147" spans="16:17" x14ac:dyDescent="0.3">
      <c r="P147"/>
      <c r="Q147"/>
    </row>
    <row r="148" spans="16:17" x14ac:dyDescent="0.3">
      <c r="P148"/>
      <c r="Q148"/>
    </row>
    <row r="149" spans="16:17" x14ac:dyDescent="0.3">
      <c r="P149"/>
      <c r="Q149"/>
    </row>
    <row r="150" spans="16:17" x14ac:dyDescent="0.3">
      <c r="P150"/>
      <c r="Q150"/>
    </row>
    <row r="151" spans="16:17" x14ac:dyDescent="0.3">
      <c r="P151"/>
      <c r="Q151"/>
    </row>
    <row r="152" spans="16:17" x14ac:dyDescent="0.3">
      <c r="P152"/>
      <c r="Q152"/>
    </row>
    <row r="153" spans="16:17" x14ac:dyDescent="0.3">
      <c r="P153"/>
      <c r="Q153"/>
    </row>
    <row r="154" spans="16:17" x14ac:dyDescent="0.3">
      <c r="P154"/>
      <c r="Q154"/>
    </row>
    <row r="155" spans="16:17" x14ac:dyDescent="0.3">
      <c r="P155"/>
      <c r="Q155"/>
    </row>
    <row r="156" spans="16:17" x14ac:dyDescent="0.3">
      <c r="P156"/>
      <c r="Q156"/>
    </row>
    <row r="157" spans="16:17" x14ac:dyDescent="0.3">
      <c r="P157"/>
      <c r="Q157"/>
    </row>
    <row r="158" spans="16:17" x14ac:dyDescent="0.3">
      <c r="P158"/>
      <c r="Q158"/>
    </row>
    <row r="159" spans="16:17" x14ac:dyDescent="0.3">
      <c r="P159"/>
      <c r="Q159"/>
    </row>
    <row r="160" spans="16:17" x14ac:dyDescent="0.3">
      <c r="P160"/>
      <c r="Q160"/>
    </row>
    <row r="161" spans="16:17" x14ac:dyDescent="0.3">
      <c r="P161"/>
      <c r="Q161"/>
    </row>
    <row r="162" spans="16:17" x14ac:dyDescent="0.3">
      <c r="P162"/>
      <c r="Q162"/>
    </row>
    <row r="163" spans="16:17" x14ac:dyDescent="0.3">
      <c r="P163"/>
      <c r="Q163"/>
    </row>
    <row r="164" spans="16:17" x14ac:dyDescent="0.3">
      <c r="P164"/>
      <c r="Q164"/>
    </row>
    <row r="165" spans="16:17" x14ac:dyDescent="0.3">
      <c r="P165"/>
      <c r="Q165"/>
    </row>
    <row r="166" spans="16:17" x14ac:dyDescent="0.3">
      <c r="P166"/>
      <c r="Q166"/>
    </row>
    <row r="167" spans="16:17" x14ac:dyDescent="0.3">
      <c r="P167"/>
      <c r="Q167"/>
    </row>
    <row r="168" spans="16:17" x14ac:dyDescent="0.3">
      <c r="P168"/>
      <c r="Q168"/>
    </row>
    <row r="169" spans="16:17" x14ac:dyDescent="0.3">
      <c r="P169"/>
      <c r="Q169"/>
    </row>
    <row r="170" spans="16:17" x14ac:dyDescent="0.3">
      <c r="P170"/>
      <c r="Q170"/>
    </row>
    <row r="171" spans="16:17" x14ac:dyDescent="0.3">
      <c r="P171"/>
      <c r="Q171"/>
    </row>
    <row r="172" spans="16:17" x14ac:dyDescent="0.3">
      <c r="P172"/>
      <c r="Q172"/>
    </row>
    <row r="173" spans="16:17" x14ac:dyDescent="0.3">
      <c r="P173"/>
      <c r="Q173"/>
    </row>
    <row r="174" spans="16:17" x14ac:dyDescent="0.3">
      <c r="P174"/>
      <c r="Q174"/>
    </row>
    <row r="175" spans="16:17" x14ac:dyDescent="0.3">
      <c r="P175"/>
      <c r="Q175"/>
    </row>
    <row r="176" spans="16:17" x14ac:dyDescent="0.3">
      <c r="P176"/>
      <c r="Q176"/>
    </row>
    <row r="177" spans="16:17" x14ac:dyDescent="0.3">
      <c r="P177"/>
      <c r="Q177"/>
    </row>
    <row r="178" spans="16:17" x14ac:dyDescent="0.3">
      <c r="P178"/>
      <c r="Q178"/>
    </row>
    <row r="179" spans="16:17" x14ac:dyDescent="0.3">
      <c r="P179"/>
      <c r="Q179"/>
    </row>
    <row r="180" spans="16:17" x14ac:dyDescent="0.3">
      <c r="P180"/>
      <c r="Q180"/>
    </row>
    <row r="181" spans="16:17" x14ac:dyDescent="0.3">
      <c r="P181"/>
      <c r="Q181"/>
    </row>
    <row r="182" spans="16:17" x14ac:dyDescent="0.3">
      <c r="P182"/>
      <c r="Q182"/>
    </row>
    <row r="183" spans="16:17" x14ac:dyDescent="0.3">
      <c r="P183"/>
      <c r="Q183"/>
    </row>
    <row r="184" spans="16:17" x14ac:dyDescent="0.3">
      <c r="P184"/>
      <c r="Q184"/>
    </row>
    <row r="185" spans="16:17" x14ac:dyDescent="0.3">
      <c r="P185"/>
      <c r="Q185"/>
    </row>
    <row r="186" spans="16:17" x14ac:dyDescent="0.3">
      <c r="P186"/>
      <c r="Q186"/>
    </row>
    <row r="187" spans="16:17" x14ac:dyDescent="0.3">
      <c r="P187"/>
      <c r="Q187"/>
    </row>
    <row r="188" spans="16:17" x14ac:dyDesce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r="191" spans="16:17" x14ac:dyDescent="0.3">
      <c r="P191"/>
      <c r="Q191"/>
    </row>
    <row r="192" spans="16:17" x14ac:dyDescent="0.3">
      <c r="P192"/>
      <c r="Q192"/>
    </row>
    <row r="193" spans="16:17" x14ac:dyDescent="0.3">
      <c r="P193"/>
      <c r="Q193"/>
    </row>
    <row r="194" spans="16:17" x14ac:dyDescent="0.3">
      <c r="P194"/>
      <c r="Q194"/>
    </row>
    <row r="195" spans="16:17" x14ac:dyDescent="0.3">
      <c r="P195"/>
      <c r="Q195"/>
    </row>
    <row r="196" spans="16:17" x14ac:dyDescent="0.3">
      <c r="P196"/>
      <c r="Q196"/>
    </row>
    <row r="197" spans="16:17" x14ac:dyDescent="0.3">
      <c r="P197"/>
      <c r="Q197"/>
    </row>
    <row r="198" spans="16:17" x14ac:dyDescent="0.3">
      <c r="P198"/>
      <c r="Q198"/>
    </row>
    <row r="199" spans="16:17" x14ac:dyDescent="0.3">
      <c r="P199"/>
      <c r="Q199"/>
    </row>
    <row r="200" spans="16:17" x14ac:dyDescent="0.3">
      <c r="P200"/>
      <c r="Q200"/>
    </row>
    <row r="201" spans="16:17" x14ac:dyDescent="0.3">
      <c r="P201"/>
      <c r="Q201"/>
    </row>
    <row r="202" spans="16:17" x14ac:dyDescent="0.3">
      <c r="P202"/>
      <c r="Q202"/>
    </row>
    <row r="203" spans="16:17" x14ac:dyDescent="0.3">
      <c r="P203"/>
      <c r="Q203"/>
    </row>
    <row r="204" spans="16:17" x14ac:dyDescent="0.3">
      <c r="P204"/>
      <c r="Q204"/>
    </row>
    <row r="205" spans="16:17" x14ac:dyDescent="0.3">
      <c r="P205"/>
      <c r="Q205"/>
    </row>
    <row r="206" spans="16:17" x14ac:dyDescent="0.3">
      <c r="P206"/>
      <c r="Q206"/>
    </row>
    <row r="207" spans="16:17" x14ac:dyDescent="0.3">
      <c r="P207"/>
      <c r="Q207"/>
    </row>
    <row r="208" spans="16:17" x14ac:dyDescent="0.3">
      <c r="P208"/>
      <c r="Q208"/>
    </row>
    <row r="209" spans="16:17" x14ac:dyDescent="0.3">
      <c r="P209"/>
      <c r="Q209"/>
    </row>
    <row r="210" spans="16:17" x14ac:dyDescent="0.3">
      <c r="P210"/>
      <c r="Q210"/>
    </row>
    <row r="211" spans="16:17" x14ac:dyDescent="0.3">
      <c r="P211"/>
      <c r="Q211"/>
    </row>
    <row r="212" spans="16:17" x14ac:dyDescent="0.3">
      <c r="P212"/>
      <c r="Q212"/>
    </row>
    <row r="213" spans="16:17" x14ac:dyDescent="0.3">
      <c r="P213"/>
      <c r="Q213"/>
    </row>
    <row r="214" spans="16:17" x14ac:dyDescent="0.3">
      <c r="P214"/>
      <c r="Q214"/>
    </row>
    <row r="215" spans="16:17" x14ac:dyDescent="0.3">
      <c r="P215"/>
      <c r="Q215"/>
    </row>
    <row r="216" spans="16:17" x14ac:dyDescent="0.3">
      <c r="P216"/>
      <c r="Q216"/>
    </row>
    <row r="217" spans="16:17" x14ac:dyDescent="0.3">
      <c r="P217"/>
      <c r="Q217"/>
    </row>
    <row r="218" spans="16:17" x14ac:dyDescent="0.3">
      <c r="P218"/>
      <c r="Q218"/>
    </row>
    <row r="219" spans="16:17" x14ac:dyDescent="0.3">
      <c r="P219"/>
      <c r="Q219"/>
    </row>
    <row r="220" spans="16:17" x14ac:dyDescent="0.3">
      <c r="P220"/>
      <c r="Q220"/>
    </row>
    <row r="221" spans="16:17" x14ac:dyDescent="0.3">
      <c r="P221"/>
      <c r="Q221"/>
    </row>
    <row r="222" spans="16:17" x14ac:dyDescent="0.3">
      <c r="P222"/>
      <c r="Q222"/>
    </row>
    <row r="223" spans="16:17" x14ac:dyDescent="0.3">
      <c r="P223"/>
      <c r="Q223"/>
    </row>
    <row r="224" spans="16:17" x14ac:dyDescent="0.3">
      <c r="P224"/>
      <c r="Q224"/>
    </row>
    <row r="225" spans="16:17" x14ac:dyDescent="0.3">
      <c r="P225"/>
      <c r="Q225"/>
    </row>
    <row r="226" spans="16:17" x14ac:dyDescent="0.3">
      <c r="P226"/>
      <c r="Q226"/>
    </row>
    <row r="227" spans="16:17" x14ac:dyDescent="0.3">
      <c r="P227"/>
      <c r="Q227"/>
    </row>
    <row r="228" spans="16:17" x14ac:dyDescent="0.3">
      <c r="P228"/>
      <c r="Q228"/>
    </row>
    <row r="229" spans="16:17" x14ac:dyDescent="0.3">
      <c r="P229"/>
      <c r="Q229"/>
    </row>
    <row r="230" spans="16:17" x14ac:dyDescent="0.3">
      <c r="P230"/>
      <c r="Q230"/>
    </row>
    <row r="231" spans="16:17" x14ac:dyDescent="0.3">
      <c r="P231"/>
      <c r="Q231"/>
    </row>
    <row r="232" spans="16:17" x14ac:dyDescent="0.3">
      <c r="P232"/>
      <c r="Q232"/>
    </row>
    <row r="233" spans="16:17" x14ac:dyDescent="0.3">
      <c r="P233"/>
      <c r="Q233"/>
    </row>
    <row r="234" spans="16:17" x14ac:dyDescent="0.3">
      <c r="P234"/>
      <c r="Q234"/>
    </row>
    <row r="235" spans="16:17" x14ac:dyDescent="0.3">
      <c r="P235"/>
      <c r="Q235"/>
    </row>
    <row r="236" spans="16:17" x14ac:dyDescent="0.3">
      <c r="P236"/>
      <c r="Q236"/>
    </row>
    <row r="237" spans="16:17" x14ac:dyDescent="0.3">
      <c r="P237"/>
      <c r="Q237"/>
    </row>
    <row r="238" spans="16:17" x14ac:dyDescent="0.3">
      <c r="P238"/>
      <c r="Q238"/>
    </row>
    <row r="239" spans="16:17" x14ac:dyDescent="0.3">
      <c r="P239"/>
      <c r="Q239"/>
    </row>
    <row r="240" spans="16:17" x14ac:dyDescent="0.3">
      <c r="P240"/>
      <c r="Q240"/>
    </row>
    <row r="241" spans="16:17" x14ac:dyDescent="0.3">
      <c r="P241"/>
      <c r="Q241"/>
    </row>
    <row r="242" spans="16:17" x14ac:dyDescent="0.3">
      <c r="P242"/>
      <c r="Q242"/>
    </row>
    <row r="243" spans="16:17" x14ac:dyDescent="0.3">
      <c r="P243"/>
      <c r="Q243"/>
    </row>
    <row r="244" spans="16:17" x14ac:dyDescent="0.3">
      <c r="P244"/>
      <c r="Q244"/>
    </row>
    <row r="245" spans="16:17" x14ac:dyDescent="0.3">
      <c r="P245"/>
      <c r="Q245"/>
    </row>
    <row r="246" spans="16:17" x14ac:dyDescent="0.3">
      <c r="P246"/>
      <c r="Q246"/>
    </row>
    <row r="247" spans="16:17" x14ac:dyDescent="0.3">
      <c r="P247"/>
      <c r="Q247"/>
    </row>
    <row r="248" spans="16:17" x14ac:dyDescent="0.3">
      <c r="P248"/>
      <c r="Q248"/>
    </row>
    <row r="249" spans="16:17" x14ac:dyDescent="0.3">
      <c r="P249"/>
      <c r="Q249"/>
    </row>
    <row r="250" spans="16:17" x14ac:dyDescent="0.3">
      <c r="P250"/>
      <c r="Q250"/>
    </row>
    <row r="251" spans="16:17" x14ac:dyDescent="0.3">
      <c r="P251"/>
      <c r="Q251"/>
    </row>
    <row r="252" spans="16:17" x14ac:dyDescent="0.3">
      <c r="P252"/>
      <c r="Q252"/>
    </row>
    <row r="253" spans="16:17" x14ac:dyDescent="0.3">
      <c r="P253"/>
      <c r="Q253"/>
    </row>
    <row r="254" spans="16:17" x14ac:dyDescent="0.3">
      <c r="P254"/>
      <c r="Q254"/>
    </row>
    <row r="255" spans="16:17" x14ac:dyDescent="0.3">
      <c r="P255"/>
      <c r="Q255"/>
    </row>
    <row r="256" spans="16:17" x14ac:dyDescent="0.3">
      <c r="P256"/>
      <c r="Q256"/>
    </row>
    <row r="257" spans="16:17" x14ac:dyDescent="0.3">
      <c r="P257"/>
      <c r="Q257"/>
    </row>
    <row r="258" spans="16:17" x14ac:dyDescent="0.3">
      <c r="P258"/>
      <c r="Q258"/>
    </row>
    <row r="259" spans="16:17" x14ac:dyDescent="0.3">
      <c r="P259"/>
      <c r="Q259"/>
    </row>
    <row r="260" spans="16:17" x14ac:dyDescent="0.3">
      <c r="P260"/>
      <c r="Q260"/>
    </row>
    <row r="261" spans="16:17" x14ac:dyDescent="0.3">
      <c r="P261"/>
      <c r="Q261"/>
    </row>
    <row r="262" spans="16:17" x14ac:dyDescent="0.3">
      <c r="P262"/>
      <c r="Q262"/>
    </row>
    <row r="263" spans="16:17" x14ac:dyDescent="0.3">
      <c r="P263"/>
      <c r="Q263"/>
    </row>
    <row r="264" spans="16:17" x14ac:dyDescent="0.3">
      <c r="P264"/>
      <c r="Q264"/>
    </row>
    <row r="265" spans="16:17" x14ac:dyDescent="0.3">
      <c r="P265"/>
      <c r="Q265"/>
    </row>
    <row r="266" spans="16:17" x14ac:dyDescent="0.3">
      <c r="P266"/>
      <c r="Q266"/>
    </row>
    <row r="267" spans="16:17" x14ac:dyDescent="0.3">
      <c r="P267"/>
      <c r="Q267"/>
    </row>
    <row r="268" spans="16:17" x14ac:dyDescent="0.3">
      <c r="P268"/>
      <c r="Q268"/>
    </row>
    <row r="269" spans="16:17" x14ac:dyDescent="0.3">
      <c r="P269"/>
      <c r="Q269"/>
    </row>
    <row r="270" spans="16:17" x14ac:dyDescent="0.3">
      <c r="P270"/>
      <c r="Q270"/>
    </row>
    <row r="271" spans="16:17" x14ac:dyDescent="0.3">
      <c r="P271"/>
      <c r="Q271"/>
    </row>
    <row r="272" spans="16:17" x14ac:dyDescent="0.3">
      <c r="P272"/>
      <c r="Q272"/>
    </row>
    <row r="273" spans="16:17" x14ac:dyDescent="0.3">
      <c r="P273"/>
      <c r="Q273"/>
    </row>
    <row r="274" spans="16:17" x14ac:dyDescent="0.3">
      <c r="P274"/>
      <c r="Q274"/>
    </row>
    <row r="275" spans="16:17" x14ac:dyDescent="0.3">
      <c r="P275"/>
      <c r="Q275"/>
    </row>
    <row r="276" spans="16:17" x14ac:dyDescent="0.3">
      <c r="P276"/>
      <c r="Q276"/>
    </row>
    <row r="277" spans="16:17" x14ac:dyDescent="0.3">
      <c r="P277"/>
      <c r="Q277"/>
    </row>
    <row r="278" spans="16:17" x14ac:dyDescent="0.3">
      <c r="P278"/>
      <c r="Q278"/>
    </row>
    <row r="279" spans="16:17" x14ac:dyDescent="0.3">
      <c r="P279"/>
      <c r="Q279"/>
    </row>
    <row r="280" spans="16:17" x14ac:dyDescent="0.3">
      <c r="P280"/>
      <c r="Q280"/>
    </row>
    <row r="281" spans="16:17" x14ac:dyDescent="0.3">
      <c r="P281"/>
      <c r="Q281"/>
    </row>
    <row r="282" spans="16:17" x14ac:dyDescent="0.3">
      <c r="P282"/>
      <c r="Q282"/>
    </row>
    <row r="283" spans="16:17" x14ac:dyDescent="0.3">
      <c r="P283"/>
      <c r="Q283"/>
    </row>
    <row r="284" spans="16:17" x14ac:dyDescent="0.3">
      <c r="P284"/>
      <c r="Q284"/>
    </row>
    <row r="285" spans="16:17" x14ac:dyDescent="0.3">
      <c r="P285"/>
      <c r="Q285"/>
    </row>
    <row r="286" spans="16:17" x14ac:dyDescent="0.3">
      <c r="P286"/>
      <c r="Q286"/>
    </row>
    <row r="287" spans="16:17" x14ac:dyDescent="0.3">
      <c r="P287"/>
      <c r="Q287"/>
    </row>
    <row r="288" spans="16:17" x14ac:dyDescent="0.3">
      <c r="P288"/>
      <c r="Q288"/>
    </row>
    <row r="289" spans="16:17" x14ac:dyDescent="0.3">
      <c r="P289"/>
      <c r="Q289"/>
    </row>
    <row r="290" spans="16:17" x14ac:dyDescent="0.3">
      <c r="P290"/>
      <c r="Q290"/>
    </row>
    <row r="291" spans="16:17" x14ac:dyDescent="0.3">
      <c r="P291"/>
      <c r="Q291"/>
    </row>
    <row r="292" spans="16:17" x14ac:dyDescent="0.3">
      <c r="P292"/>
      <c r="Q292"/>
    </row>
    <row r="293" spans="16:17" x14ac:dyDescent="0.3">
      <c r="P293"/>
      <c r="Q293"/>
    </row>
    <row r="294" spans="16:17" x14ac:dyDescent="0.3">
      <c r="P294"/>
      <c r="Q294"/>
    </row>
    <row r="295" spans="16:17" x14ac:dyDescent="0.3">
      <c r="P295"/>
      <c r="Q295"/>
    </row>
    <row r="296" spans="16:17" x14ac:dyDescent="0.3">
      <c r="P296"/>
      <c r="Q296"/>
    </row>
    <row r="297" spans="16:17" x14ac:dyDescent="0.3">
      <c r="P297"/>
      <c r="Q297"/>
    </row>
    <row r="298" spans="16:17" x14ac:dyDescent="0.3">
      <c r="P298"/>
      <c r="Q298"/>
    </row>
    <row r="299" spans="16:17" x14ac:dyDescent="0.3">
      <c r="P299"/>
      <c r="Q299"/>
    </row>
    <row r="300" spans="16:17" x14ac:dyDescent="0.3">
      <c r="P300"/>
      <c r="Q300"/>
    </row>
    <row r="301" spans="16:17" x14ac:dyDescent="0.3">
      <c r="P301"/>
      <c r="Q301"/>
    </row>
    <row r="302" spans="16:17" x14ac:dyDescent="0.3">
      <c r="P302"/>
      <c r="Q302"/>
    </row>
    <row r="303" spans="16:17" x14ac:dyDescent="0.3">
      <c r="P303"/>
      <c r="Q303"/>
    </row>
    <row r="304" spans="16:17" x14ac:dyDescent="0.3">
      <c r="P304"/>
      <c r="Q304"/>
    </row>
    <row r="305" spans="16:17" x14ac:dyDescent="0.3">
      <c r="P305"/>
      <c r="Q305"/>
    </row>
    <row r="306" spans="16:17" x14ac:dyDescent="0.3">
      <c r="P306"/>
      <c r="Q306"/>
    </row>
    <row r="307" spans="16:17" x14ac:dyDescent="0.3">
      <c r="P307"/>
      <c r="Q307"/>
    </row>
    <row r="308" spans="16:17" x14ac:dyDescent="0.3">
      <c r="P308"/>
      <c r="Q308"/>
    </row>
    <row r="309" spans="16:17" x14ac:dyDescent="0.3">
      <c r="P309"/>
      <c r="Q309"/>
    </row>
    <row r="310" spans="16:17" x14ac:dyDescent="0.3">
      <c r="P310"/>
      <c r="Q310"/>
    </row>
    <row r="311" spans="16:17" x14ac:dyDescent="0.3">
      <c r="P311"/>
      <c r="Q311"/>
    </row>
    <row r="312" spans="16:17" x14ac:dyDescent="0.3">
      <c r="P312"/>
      <c r="Q312"/>
    </row>
    <row r="313" spans="16:17" x14ac:dyDescent="0.3">
      <c r="P313"/>
      <c r="Q313"/>
    </row>
    <row r="314" spans="16:17" x14ac:dyDescent="0.3">
      <c r="P314"/>
      <c r="Q314"/>
    </row>
    <row r="315" spans="16:17" x14ac:dyDescent="0.3">
      <c r="P315"/>
      <c r="Q315"/>
    </row>
    <row r="316" spans="16:17" x14ac:dyDescent="0.3">
      <c r="P316"/>
      <c r="Q316"/>
    </row>
    <row r="317" spans="16:17" x14ac:dyDescent="0.3">
      <c r="P317"/>
      <c r="Q317"/>
    </row>
    <row r="318" spans="16:17" x14ac:dyDescent="0.3">
      <c r="P318"/>
      <c r="Q318"/>
    </row>
    <row r="319" spans="16:17" x14ac:dyDescent="0.3">
      <c r="P319"/>
      <c r="Q319"/>
    </row>
    <row r="320" spans="16:17" x14ac:dyDescent="0.3">
      <c r="P320"/>
      <c r="Q320"/>
    </row>
    <row r="321" spans="16:17" x14ac:dyDescent="0.3">
      <c r="P321"/>
      <c r="Q321"/>
    </row>
    <row r="322" spans="16:17" x14ac:dyDescent="0.3">
      <c r="P322"/>
      <c r="Q322"/>
    </row>
    <row r="323" spans="16:17" x14ac:dyDescent="0.3">
      <c r="P323"/>
      <c r="Q323"/>
    </row>
    <row r="324" spans="16:17" x14ac:dyDescent="0.3">
      <c r="P324"/>
      <c r="Q324"/>
    </row>
    <row r="325" spans="16:17" x14ac:dyDescent="0.3">
      <c r="P325"/>
      <c r="Q325"/>
    </row>
    <row r="326" spans="16:17" x14ac:dyDescent="0.3">
      <c r="P326"/>
      <c r="Q326"/>
    </row>
    <row r="327" spans="16:17" x14ac:dyDescent="0.3">
      <c r="P327"/>
      <c r="Q327"/>
    </row>
    <row r="328" spans="16:17" x14ac:dyDescent="0.3">
      <c r="P328"/>
      <c r="Q328"/>
    </row>
    <row r="329" spans="16:17" x14ac:dyDescent="0.3">
      <c r="P329"/>
      <c r="Q329"/>
    </row>
    <row r="330" spans="16:17" x14ac:dyDescent="0.3">
      <c r="P330"/>
      <c r="Q330"/>
    </row>
    <row r="331" spans="16:17" x14ac:dyDescent="0.3">
      <c r="P331"/>
      <c r="Q331"/>
    </row>
    <row r="332" spans="16:17" x14ac:dyDescent="0.3">
      <c r="P332"/>
      <c r="Q332"/>
    </row>
    <row r="333" spans="16:17" x14ac:dyDescent="0.3">
      <c r="P333"/>
      <c r="Q333"/>
    </row>
    <row r="334" spans="16:17" x14ac:dyDescent="0.3">
      <c r="P334"/>
      <c r="Q334"/>
    </row>
    <row r="335" spans="16:17" x14ac:dyDescent="0.3">
      <c r="P335"/>
      <c r="Q335"/>
    </row>
    <row r="336" spans="16:17" x14ac:dyDescent="0.3">
      <c r="P336"/>
      <c r="Q336"/>
    </row>
    <row r="337" spans="16:17" x14ac:dyDescent="0.3">
      <c r="P337"/>
      <c r="Q337"/>
    </row>
    <row r="338" spans="16:17" x14ac:dyDescent="0.3">
      <c r="P338"/>
      <c r="Q338"/>
    </row>
    <row r="339" spans="16:17" x14ac:dyDescent="0.3">
      <c r="P339"/>
      <c r="Q339"/>
    </row>
    <row r="340" spans="16:17" x14ac:dyDescent="0.3">
      <c r="P340"/>
      <c r="Q340"/>
    </row>
    <row r="341" spans="16:17" x14ac:dyDescent="0.3">
      <c r="P341"/>
      <c r="Q341"/>
    </row>
    <row r="342" spans="16:17" x14ac:dyDescent="0.3">
      <c r="P342"/>
      <c r="Q342"/>
    </row>
    <row r="343" spans="16:17" x14ac:dyDescent="0.3">
      <c r="P343"/>
      <c r="Q343"/>
    </row>
    <row r="344" spans="16:17" x14ac:dyDescent="0.3">
      <c r="P344"/>
      <c r="Q344"/>
    </row>
    <row r="345" spans="16:17" x14ac:dyDescent="0.3">
      <c r="P345"/>
      <c r="Q345"/>
    </row>
    <row r="346" spans="16:17" x14ac:dyDescent="0.3">
      <c r="P346"/>
      <c r="Q346"/>
    </row>
    <row r="347" spans="16:17" x14ac:dyDescent="0.3">
      <c r="P347"/>
      <c r="Q347"/>
    </row>
    <row r="348" spans="16:17" x14ac:dyDescent="0.3">
      <c r="P348"/>
      <c r="Q348"/>
    </row>
    <row r="349" spans="16:17" x14ac:dyDescent="0.3">
      <c r="P349"/>
      <c r="Q349"/>
    </row>
    <row r="350" spans="16:17" x14ac:dyDescent="0.3">
      <c r="P350"/>
      <c r="Q350"/>
    </row>
    <row r="351" spans="16:17" x14ac:dyDescent="0.3">
      <c r="P351"/>
      <c r="Q351"/>
    </row>
    <row r="352" spans="16:17" x14ac:dyDescent="0.3">
      <c r="P352"/>
      <c r="Q352"/>
    </row>
  </sheetData>
  <mergeCells count="9">
    <mergeCell ref="N23:O23"/>
    <mergeCell ref="N37:O37"/>
    <mergeCell ref="K47:L47"/>
    <mergeCell ref="B1:O1"/>
    <mergeCell ref="B3:G3"/>
    <mergeCell ref="K3:O3"/>
    <mergeCell ref="B12:C12"/>
    <mergeCell ref="K21:K22"/>
    <mergeCell ref="L21:L22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C58D-2286-48DC-A927-218218FD45FD}">
  <dimension ref="B1:AN352"/>
  <sheetViews>
    <sheetView topLeftCell="A4" zoomScaleNormal="100" workbookViewId="0">
      <selection activeCell="F37" sqref="F37"/>
    </sheetView>
  </sheetViews>
  <sheetFormatPr defaultColWidth="9.33203125" defaultRowHeight="14.4" x14ac:dyDescent="0.3"/>
  <cols>
    <col min="1" max="1" width="1.6640625" customWidth="1"/>
    <col min="2" max="2" width="35.6640625" bestFit="1" customWidth="1"/>
    <col min="3" max="3" width="15.44140625" customWidth="1"/>
    <col min="4" max="5" width="11.33203125" customWidth="1"/>
    <col min="6" max="6" width="32.44140625" bestFit="1" customWidth="1"/>
    <col min="7" max="7" width="10.33203125" customWidth="1"/>
    <col min="8" max="8" width="1.6640625" customWidth="1"/>
    <col min="9" max="10" width="2" customWidth="1"/>
    <col min="11" max="11" width="22.6640625" bestFit="1" customWidth="1"/>
    <col min="12" max="12" width="14.44140625" bestFit="1" customWidth="1"/>
    <col min="13" max="13" width="15.33203125" customWidth="1"/>
    <col min="14" max="14" width="22.6640625" bestFit="1" customWidth="1"/>
    <col min="15" max="15" width="14.44140625" bestFit="1" customWidth="1"/>
    <col min="16" max="16" width="11.44140625" style="1" bestFit="1" customWidth="1"/>
    <col min="17" max="17" width="18.44140625" style="1" bestFit="1" customWidth="1"/>
    <col min="18" max="18" width="18.44140625" hidden="1" customWidth="1"/>
    <col min="19" max="19" width="5.6640625" hidden="1" customWidth="1"/>
    <col min="20" max="39" width="12.33203125" bestFit="1" customWidth="1"/>
    <col min="40" max="40" width="13" bestFit="1" customWidth="1"/>
  </cols>
  <sheetData>
    <row r="1" spans="2:19" ht="28.8" x14ac:dyDescent="0.3"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15" thickBot="1" x14ac:dyDescent="0.35"/>
    <row r="3" spans="2:19" ht="18.600000000000001" thickBot="1" x14ac:dyDescent="0.4">
      <c r="B3" s="45" t="s">
        <v>76</v>
      </c>
      <c r="C3" s="45"/>
      <c r="D3" s="45"/>
      <c r="E3" s="45"/>
      <c r="F3" s="45"/>
      <c r="G3" s="45"/>
      <c r="K3" s="46" t="s">
        <v>65</v>
      </c>
      <c r="L3" s="47"/>
      <c r="M3" s="47"/>
      <c r="N3" s="47"/>
      <c r="O3" s="47"/>
      <c r="Q3"/>
    </row>
    <row r="4" spans="2:19" ht="15" thickBot="1" x14ac:dyDescent="0.35">
      <c r="C4" s="2"/>
      <c r="D4" s="2"/>
      <c r="E4" s="2"/>
      <c r="P4"/>
      <c r="Q4"/>
    </row>
    <row r="5" spans="2:19" ht="16.5" customHeight="1" thickBot="1" x14ac:dyDescent="0.35">
      <c r="B5" s="3" t="s">
        <v>1</v>
      </c>
      <c r="C5" s="4">
        <f>14+27+26</f>
        <v>67</v>
      </c>
      <c r="D5" s="5"/>
      <c r="E5" s="5" t="s">
        <v>2</v>
      </c>
      <c r="F5" s="6" t="s">
        <v>3</v>
      </c>
      <c r="G5" s="7" t="s">
        <v>4</v>
      </c>
      <c r="K5" s="6" t="s">
        <v>63</v>
      </c>
      <c r="L5" s="8" t="s">
        <v>5</v>
      </c>
      <c r="N5" s="6" t="s">
        <v>64</v>
      </c>
      <c r="O5" s="6"/>
      <c r="Q5"/>
      <c r="R5" s="9" t="s">
        <v>6</v>
      </c>
      <c r="S5" s="9" t="s">
        <v>7</v>
      </c>
    </row>
    <row r="6" spans="2:19" x14ac:dyDescent="0.3">
      <c r="B6" s="10" t="s">
        <v>8</v>
      </c>
      <c r="C6" s="11">
        <f>0+1+1</f>
        <v>2</v>
      </c>
      <c r="D6" s="5"/>
      <c r="E6" s="12"/>
      <c r="F6" s="13" t="s">
        <v>9</v>
      </c>
      <c r="G6" s="14">
        <v>1</v>
      </c>
      <c r="K6" s="15" t="s">
        <v>10</v>
      </c>
      <c r="L6" s="16">
        <f>3+2+4+13+2</f>
        <v>24</v>
      </c>
      <c r="N6" s="17" t="s">
        <v>9</v>
      </c>
      <c r="O6" s="14">
        <f>2+1</f>
        <v>3</v>
      </c>
      <c r="P6" s="18"/>
      <c r="Q6"/>
      <c r="R6" s="17" t="s">
        <v>11</v>
      </c>
      <c r="S6" s="19">
        <v>3</v>
      </c>
    </row>
    <row r="7" spans="2:19" ht="15" customHeight="1" x14ac:dyDescent="0.3">
      <c r="B7" s="10" t="s">
        <v>12</v>
      </c>
      <c r="C7" s="11">
        <f>8+17</f>
        <v>25</v>
      </c>
      <c r="D7" s="5"/>
      <c r="E7" s="12"/>
      <c r="F7" s="20" t="s">
        <v>11</v>
      </c>
      <c r="G7" s="14">
        <v>6</v>
      </c>
      <c r="K7" s="15" t="s">
        <v>13</v>
      </c>
      <c r="L7" s="16">
        <f>6+7+7</f>
        <v>20</v>
      </c>
      <c r="N7" s="21" t="s">
        <v>11</v>
      </c>
      <c r="O7" s="14">
        <f>2+2</f>
        <v>4</v>
      </c>
      <c r="P7" s="18"/>
      <c r="Q7"/>
      <c r="R7" s="21" t="s">
        <v>14</v>
      </c>
      <c r="S7" s="22">
        <v>6</v>
      </c>
    </row>
    <row r="8" spans="2:19" x14ac:dyDescent="0.3">
      <c r="B8" s="10" t="s">
        <v>15</v>
      </c>
      <c r="C8" s="23">
        <f>4+0</f>
        <v>4</v>
      </c>
      <c r="D8" s="12"/>
      <c r="E8" s="12"/>
      <c r="F8" s="21" t="s">
        <v>16</v>
      </c>
      <c r="G8" s="14">
        <v>3</v>
      </c>
      <c r="K8" s="15" t="s">
        <v>17</v>
      </c>
      <c r="L8" s="24"/>
      <c r="N8" s="21" t="s">
        <v>16</v>
      </c>
      <c r="O8" s="14">
        <f>4</f>
        <v>4</v>
      </c>
      <c r="P8" s="18"/>
      <c r="Q8"/>
      <c r="R8" s="21" t="s">
        <v>18</v>
      </c>
      <c r="S8" s="22">
        <v>6</v>
      </c>
    </row>
    <row r="9" spans="2:19" x14ac:dyDescent="0.3">
      <c r="B9" s="10" t="s">
        <v>19</v>
      </c>
      <c r="C9" s="23">
        <f>0+1</f>
        <v>1</v>
      </c>
      <c r="D9" s="12"/>
      <c r="E9" s="12"/>
      <c r="F9" s="21" t="s">
        <v>14</v>
      </c>
      <c r="G9" s="14">
        <v>0</v>
      </c>
      <c r="K9" s="15" t="s">
        <v>20</v>
      </c>
      <c r="L9" s="24"/>
      <c r="M9" s="18"/>
      <c r="N9" s="21" t="s">
        <v>14</v>
      </c>
      <c r="O9" s="14">
        <f>1</f>
        <v>1</v>
      </c>
      <c r="P9" s="18"/>
      <c r="Q9"/>
      <c r="R9" s="21" t="s">
        <v>21</v>
      </c>
      <c r="S9" s="22">
        <v>1</v>
      </c>
    </row>
    <row r="10" spans="2:19" x14ac:dyDescent="0.3">
      <c r="B10" s="10" t="s">
        <v>22</v>
      </c>
      <c r="C10" s="23">
        <f>6+7+7</f>
        <v>20</v>
      </c>
      <c r="D10" s="12"/>
      <c r="E10" s="12"/>
      <c r="F10" s="21" t="s">
        <v>27</v>
      </c>
      <c r="G10" s="14">
        <v>5</v>
      </c>
      <c r="K10" s="15" t="s">
        <v>24</v>
      </c>
      <c r="L10" s="24"/>
      <c r="N10" s="21" t="s">
        <v>27</v>
      </c>
      <c r="O10" s="14">
        <f>2</f>
        <v>2</v>
      </c>
      <c r="P10" s="18"/>
      <c r="R10" s="21" t="s">
        <v>25</v>
      </c>
      <c r="S10" s="22">
        <v>6</v>
      </c>
    </row>
    <row r="11" spans="2:19" ht="15" thickBot="1" x14ac:dyDescent="0.35">
      <c r="B11" s="25" t="s">
        <v>26</v>
      </c>
      <c r="C11" s="26">
        <f>4+4</f>
        <v>8</v>
      </c>
      <c r="D11" s="12"/>
      <c r="E11" s="12"/>
      <c r="F11" s="21" t="s">
        <v>30</v>
      </c>
      <c r="G11" s="14">
        <v>0</v>
      </c>
      <c r="K11" s="15" t="s">
        <v>28</v>
      </c>
      <c r="L11" s="24"/>
      <c r="N11" s="21" t="s">
        <v>30</v>
      </c>
      <c r="O11" s="14">
        <f>1+1</f>
        <v>2</v>
      </c>
      <c r="P11" s="18"/>
      <c r="R11" s="21" t="s">
        <v>29</v>
      </c>
      <c r="S11" s="22">
        <v>7</v>
      </c>
    </row>
    <row r="12" spans="2:19" ht="15" thickBot="1" x14ac:dyDescent="0.35">
      <c r="B12" s="48"/>
      <c r="C12" s="49"/>
      <c r="D12" s="12"/>
      <c r="F12" s="21" t="s">
        <v>59</v>
      </c>
      <c r="G12" s="14">
        <v>0</v>
      </c>
      <c r="K12" s="15" t="s">
        <v>31</v>
      </c>
      <c r="L12" s="24"/>
      <c r="N12" s="21" t="s">
        <v>59</v>
      </c>
      <c r="O12" s="14">
        <f>1</f>
        <v>1</v>
      </c>
      <c r="P12" s="18"/>
      <c r="R12" s="21" t="s">
        <v>32</v>
      </c>
      <c r="S12" s="22">
        <v>3</v>
      </c>
    </row>
    <row r="13" spans="2:19" ht="15" thickBot="1" x14ac:dyDescent="0.35">
      <c r="B13" s="27" t="s">
        <v>3</v>
      </c>
      <c r="C13" s="8" t="s">
        <v>7</v>
      </c>
      <c r="D13" s="12"/>
      <c r="F13" s="21" t="s">
        <v>58</v>
      </c>
      <c r="G13" s="14">
        <v>0</v>
      </c>
      <c r="K13" s="15" t="s">
        <v>34</v>
      </c>
      <c r="L13" s="24"/>
      <c r="N13" s="21" t="s">
        <v>58</v>
      </c>
      <c r="O13" s="14">
        <v>0</v>
      </c>
      <c r="P13" s="18"/>
      <c r="R13" s="21" t="s">
        <v>35</v>
      </c>
      <c r="S13" s="22">
        <v>1</v>
      </c>
    </row>
    <row r="14" spans="2:19" ht="15" thickBot="1" x14ac:dyDescent="0.35">
      <c r="B14" s="13" t="s">
        <v>9</v>
      </c>
      <c r="C14" s="28">
        <v>0</v>
      </c>
      <c r="F14" s="21" t="s">
        <v>33</v>
      </c>
      <c r="G14" s="14">
        <v>2</v>
      </c>
      <c r="K14" s="15" t="s">
        <v>37</v>
      </c>
      <c r="L14" s="24"/>
      <c r="N14" s="21" t="s">
        <v>38</v>
      </c>
      <c r="O14" s="14">
        <f>1+1+4+1</f>
        <v>7</v>
      </c>
      <c r="P14" s="18"/>
      <c r="R14" s="30" t="s">
        <v>39</v>
      </c>
      <c r="S14" s="22">
        <v>1</v>
      </c>
    </row>
    <row r="15" spans="2:19" ht="15" thickBot="1" x14ac:dyDescent="0.35">
      <c r="B15" s="20" t="s">
        <v>11</v>
      </c>
      <c r="C15" s="14">
        <v>0</v>
      </c>
      <c r="F15" s="21" t="s">
        <v>36</v>
      </c>
      <c r="G15" s="29">
        <v>0</v>
      </c>
      <c r="K15" s="15" t="s">
        <v>41</v>
      </c>
      <c r="L15" s="24"/>
      <c r="N15" s="21" t="s">
        <v>42</v>
      </c>
      <c r="O15" s="14">
        <f>2+1+1+1</f>
        <v>5</v>
      </c>
      <c r="P15" s="18"/>
      <c r="R15" s="32" t="s">
        <v>43</v>
      </c>
      <c r="S15" s="9">
        <v>34</v>
      </c>
    </row>
    <row r="16" spans="2:19" ht="15" customHeight="1" thickBot="1" x14ac:dyDescent="0.35">
      <c r="B16" s="20" t="s">
        <v>16</v>
      </c>
      <c r="C16" s="14">
        <v>0</v>
      </c>
      <c r="F16" s="31" t="s">
        <v>40</v>
      </c>
      <c r="G16" s="7">
        <f>SUM(G6:G15)</f>
        <v>17</v>
      </c>
      <c r="K16" s="15" t="s">
        <v>44</v>
      </c>
      <c r="L16" s="24"/>
      <c r="N16" s="33" t="s">
        <v>45</v>
      </c>
      <c r="O16" s="14">
        <f>1</f>
        <v>1</v>
      </c>
    </row>
    <row r="17" spans="2:38" ht="15" customHeight="1" thickBot="1" x14ac:dyDescent="0.35">
      <c r="B17" s="20" t="s">
        <v>14</v>
      </c>
      <c r="C17" s="14">
        <v>0</v>
      </c>
      <c r="K17" s="15" t="s">
        <v>46</v>
      </c>
      <c r="L17" s="24"/>
      <c r="N17" s="21" t="s">
        <v>21</v>
      </c>
      <c r="O17" s="14">
        <v>0</v>
      </c>
    </row>
    <row r="18" spans="2:38" ht="15" thickBot="1" x14ac:dyDescent="0.35">
      <c r="B18" s="20" t="s">
        <v>23</v>
      </c>
      <c r="C18" s="14">
        <v>0</v>
      </c>
      <c r="F18" s="1"/>
      <c r="K18" s="7" t="s">
        <v>63</v>
      </c>
      <c r="L18" s="34">
        <f>SUM(L6:L17)</f>
        <v>44</v>
      </c>
      <c r="N18" s="21" t="s">
        <v>47</v>
      </c>
      <c r="O18" s="14">
        <f>3+1+3+7</f>
        <v>14</v>
      </c>
    </row>
    <row r="19" spans="2:38" ht="15" thickBot="1" x14ac:dyDescent="0.35">
      <c r="B19" s="21" t="s">
        <v>27</v>
      </c>
      <c r="C19" s="14">
        <v>0</v>
      </c>
      <c r="N19" s="7" t="s">
        <v>48</v>
      </c>
      <c r="O19" s="7">
        <f>SUM(O6:O18)</f>
        <v>44</v>
      </c>
    </row>
    <row r="20" spans="2:38" ht="15" customHeight="1" thickBot="1" x14ac:dyDescent="0.35">
      <c r="B20" s="21" t="s">
        <v>30</v>
      </c>
      <c r="C20" s="14">
        <v>0</v>
      </c>
      <c r="N20" s="35"/>
      <c r="O20" s="35"/>
    </row>
    <row r="21" spans="2:38" ht="15" customHeight="1" x14ac:dyDescent="0.3">
      <c r="B21" s="20" t="s">
        <v>59</v>
      </c>
      <c r="C21" s="14">
        <v>0</v>
      </c>
      <c r="K21" s="50" t="s">
        <v>49</v>
      </c>
      <c r="L21" s="52">
        <f>L18/2</f>
        <v>22</v>
      </c>
      <c r="N21" s="35"/>
      <c r="O21" s="35"/>
    </row>
    <row r="22" spans="2:38" s="1" customFormat="1" ht="15" customHeight="1" thickBot="1" x14ac:dyDescent="0.35">
      <c r="B22" s="20" t="s">
        <v>58</v>
      </c>
      <c r="C22" s="14">
        <v>0</v>
      </c>
      <c r="D22"/>
      <c r="F22" s="36"/>
      <c r="G22"/>
      <c r="K22" s="51"/>
      <c r="L22" s="53"/>
      <c r="N22"/>
      <c r="O22"/>
      <c r="R22"/>
      <c r="S22"/>
    </row>
    <row r="23" spans="2:38" s="1" customFormat="1" ht="15" customHeight="1" thickBot="1" x14ac:dyDescent="0.35">
      <c r="B23" s="20" t="s">
        <v>25</v>
      </c>
      <c r="C23" s="14">
        <v>0</v>
      </c>
      <c r="D23"/>
      <c r="F23"/>
      <c r="G23"/>
      <c r="N23" s="40" t="s">
        <v>61</v>
      </c>
      <c r="O23" s="41"/>
      <c r="R23"/>
      <c r="S23"/>
    </row>
    <row r="24" spans="2:38" s="1" customFormat="1" ht="15" customHeight="1" x14ac:dyDescent="0.3">
      <c r="B24" s="20" t="s">
        <v>42</v>
      </c>
      <c r="C24" s="14">
        <v>0</v>
      </c>
      <c r="F24"/>
      <c r="G24"/>
      <c r="N24" s="17" t="s">
        <v>9</v>
      </c>
      <c r="O24" s="14">
        <f>3+2+1+1+2+2+1</f>
        <v>12</v>
      </c>
      <c r="R24"/>
      <c r="S24"/>
    </row>
    <row r="25" spans="2:38" s="1" customFormat="1" ht="15" customHeight="1" x14ac:dyDescent="0.3">
      <c r="B25" s="20" t="s">
        <v>50</v>
      </c>
      <c r="C25" s="14">
        <v>0</v>
      </c>
      <c r="F25"/>
      <c r="G25"/>
      <c r="N25" s="21" t="s">
        <v>11</v>
      </c>
      <c r="O25" s="14">
        <f>2+4+5+1+0+1+6</f>
        <v>19</v>
      </c>
      <c r="R25"/>
      <c r="S25"/>
    </row>
    <row r="26" spans="2:38" s="1" customFormat="1" ht="15" customHeight="1" x14ac:dyDescent="0.3">
      <c r="B26" s="20" t="s">
        <v>21</v>
      </c>
      <c r="C26" s="14">
        <v>0</v>
      </c>
      <c r="G26"/>
      <c r="N26" s="21" t="s">
        <v>16</v>
      </c>
      <c r="O26" s="14">
        <f>4+9+0+8+2+5+3</f>
        <v>31</v>
      </c>
      <c r="P26" s="39"/>
    </row>
    <row r="27" spans="2:38" s="1" customFormat="1" x14ac:dyDescent="0.3">
      <c r="B27" s="21" t="s">
        <v>75</v>
      </c>
      <c r="C27" s="14">
        <v>1</v>
      </c>
      <c r="G27"/>
      <c r="N27" s="21" t="s">
        <v>14</v>
      </c>
      <c r="O27" s="14">
        <f>1+0+0+0+0+0+0</f>
        <v>1</v>
      </c>
      <c r="Q27"/>
    </row>
    <row r="28" spans="2:38" s="1" customFormat="1" x14ac:dyDescent="0.3">
      <c r="B28" s="21" t="s">
        <v>77</v>
      </c>
      <c r="C28" s="14">
        <v>2</v>
      </c>
      <c r="E28" s="37"/>
      <c r="F28"/>
      <c r="G28"/>
      <c r="N28" s="21" t="s">
        <v>27</v>
      </c>
      <c r="O28" s="14">
        <f>1+3+3+4+4+1+2+5</f>
        <v>23</v>
      </c>
      <c r="Q28"/>
    </row>
    <row r="29" spans="2:38" s="1" customFormat="1" x14ac:dyDescent="0.3">
      <c r="B29" s="21" t="s">
        <v>74</v>
      </c>
      <c r="C29" s="14">
        <v>0</v>
      </c>
      <c r="F29"/>
      <c r="G29"/>
      <c r="N29" s="21" t="s">
        <v>30</v>
      </c>
      <c r="O29" s="14">
        <f>4+3+2+4+2+0+0</f>
        <v>15</v>
      </c>
      <c r="Q29"/>
    </row>
    <row r="30" spans="2:38" s="1" customFormat="1" x14ac:dyDescent="0.3">
      <c r="B30" s="21" t="s">
        <v>53</v>
      </c>
      <c r="C30" s="14">
        <v>2</v>
      </c>
      <c r="F30"/>
      <c r="G30"/>
      <c r="N30" s="21" t="s">
        <v>59</v>
      </c>
      <c r="O30" s="14">
        <f>1+0+0+1+1+0</f>
        <v>3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2:38" s="1" customFormat="1" x14ac:dyDescent="0.3">
      <c r="B31" s="21" t="s">
        <v>54</v>
      </c>
      <c r="C31" s="14">
        <v>0</v>
      </c>
      <c r="N31" s="21" t="s">
        <v>58</v>
      </c>
      <c r="O31" s="14">
        <f>0+0+0</f>
        <v>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2:38" s="1" customFormat="1" ht="15" thickBot="1" x14ac:dyDescent="0.35">
      <c r="B32" s="30" t="s">
        <v>55</v>
      </c>
      <c r="C32" s="14">
        <v>2</v>
      </c>
      <c r="N32" s="21" t="s">
        <v>33</v>
      </c>
      <c r="O32" s="14">
        <f>0+1+2+0+3+2</f>
        <v>8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2:40" s="1" customFormat="1" ht="15" thickBot="1" x14ac:dyDescent="0.35">
      <c r="B33" s="38" t="s">
        <v>56</v>
      </c>
      <c r="C33" s="7">
        <f>SUM(C14:C32)</f>
        <v>7</v>
      </c>
      <c r="N33" s="21" t="s">
        <v>47</v>
      </c>
      <c r="O33" s="14">
        <f>0+6+4+4+1+0</f>
        <v>15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2:40" s="1" customFormat="1" ht="15" thickBot="1" x14ac:dyDescent="0.35">
      <c r="N34" s="7" t="s">
        <v>48</v>
      </c>
      <c r="O34" s="7">
        <f>SUM(O24:O33)</f>
        <v>127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2:40" s="1" customFormat="1" x14ac:dyDescent="0.3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2:40" s="1" customFormat="1" ht="15" thickBot="1" x14ac:dyDescent="0.3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s="1" customFormat="1" ht="15" thickBot="1" x14ac:dyDescent="0.35">
      <c r="K37"/>
      <c r="L37"/>
      <c r="N37" s="40" t="s">
        <v>62</v>
      </c>
      <c r="O37" s="4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2:40" s="1" customFormat="1" x14ac:dyDescent="0.3">
      <c r="K38"/>
      <c r="L38"/>
      <c r="N38" s="17" t="s">
        <v>9</v>
      </c>
      <c r="O38" s="14">
        <f>5+1+6+5+4+6+3</f>
        <v>30</v>
      </c>
      <c r="R38"/>
      <c r="S38"/>
    </row>
    <row r="39" spans="2:40" x14ac:dyDescent="0.3">
      <c r="B39" s="1"/>
      <c r="C39" s="1"/>
      <c r="D39" s="1"/>
      <c r="F39" s="1"/>
      <c r="G39" s="1"/>
      <c r="N39" s="21" t="s">
        <v>11</v>
      </c>
      <c r="O39" s="14">
        <f>1+6+6+2+0+6+4</f>
        <v>25</v>
      </c>
    </row>
    <row r="40" spans="2:40" s="1" customFormat="1" x14ac:dyDescent="0.3">
      <c r="K40"/>
      <c r="L40"/>
      <c r="N40" s="21" t="s">
        <v>16</v>
      </c>
      <c r="O40" s="14">
        <f>4+4+5+6+3+3+5</f>
        <v>30</v>
      </c>
      <c r="P40" s="39"/>
      <c r="R40"/>
      <c r="S40"/>
    </row>
    <row r="41" spans="2:40" x14ac:dyDescent="0.3">
      <c r="B41" s="1"/>
      <c r="C41" s="1"/>
      <c r="F41" s="1"/>
      <c r="G41" s="1"/>
      <c r="N41" s="21" t="s">
        <v>14</v>
      </c>
      <c r="O41" s="14">
        <f>1+3+0+1+0</f>
        <v>5</v>
      </c>
    </row>
    <row r="42" spans="2:40" s="1" customFormat="1" x14ac:dyDescent="0.3">
      <c r="F42"/>
      <c r="G42"/>
      <c r="K42"/>
      <c r="L42"/>
      <c r="N42" s="21" t="s">
        <v>27</v>
      </c>
      <c r="O42" s="14">
        <f>4+5+3+4+5+7</f>
        <v>28</v>
      </c>
      <c r="R42"/>
      <c r="S42"/>
    </row>
    <row r="43" spans="2:40" x14ac:dyDescent="0.3">
      <c r="B43" s="1"/>
      <c r="C43" s="1"/>
      <c r="N43" s="21" t="s">
        <v>30</v>
      </c>
      <c r="O43" s="14">
        <f>1+3+5+4+6+1+2+3</f>
        <v>25</v>
      </c>
      <c r="Q43"/>
    </row>
    <row r="44" spans="2:40" x14ac:dyDescent="0.3">
      <c r="C44" s="1"/>
      <c r="D44" s="1"/>
      <c r="N44" s="21" t="s">
        <v>59</v>
      </c>
      <c r="O44" s="14">
        <f>1+3+0+2+2+3+2</f>
        <v>13</v>
      </c>
      <c r="Q44"/>
    </row>
    <row r="45" spans="2:40" x14ac:dyDescent="0.3">
      <c r="N45" s="21" t="s">
        <v>58</v>
      </c>
      <c r="O45" s="14">
        <f>1+0+0+0+0+0</f>
        <v>1</v>
      </c>
      <c r="Q45"/>
    </row>
    <row r="46" spans="2:40" ht="15" customHeight="1" x14ac:dyDescent="0.3">
      <c r="N46" s="21" t="s">
        <v>33</v>
      </c>
      <c r="O46" s="14">
        <f>0+3+2+0+2+2</f>
        <v>9</v>
      </c>
      <c r="Q46"/>
    </row>
    <row r="47" spans="2:40" ht="15" thickBot="1" x14ac:dyDescent="0.35">
      <c r="K47" s="42"/>
      <c r="L47" s="42"/>
      <c r="N47" s="21" t="s">
        <v>47</v>
      </c>
      <c r="O47" s="14">
        <f>1+11+0+0+0+1</f>
        <v>13</v>
      </c>
      <c r="Q47"/>
    </row>
    <row r="48" spans="2:40" ht="15" thickBot="1" x14ac:dyDescent="0.35">
      <c r="N48" s="7" t="s">
        <v>48</v>
      </c>
      <c r="O48" s="7">
        <f>SUM(O38:O47)</f>
        <v>179</v>
      </c>
      <c r="P48"/>
      <c r="Q48"/>
    </row>
    <row r="49" spans="16:17" x14ac:dyDescent="0.3">
      <c r="P49"/>
      <c r="Q49"/>
    </row>
    <row r="50" spans="16:17" x14ac:dyDescent="0.3">
      <c r="P50"/>
      <c r="Q50"/>
    </row>
    <row r="51" spans="16:17" x14ac:dyDescent="0.3">
      <c r="P51"/>
      <c r="Q51"/>
    </row>
    <row r="52" spans="16:17" x14ac:dyDescent="0.3">
      <c r="P52"/>
      <c r="Q52"/>
    </row>
    <row r="53" spans="16:17" x14ac:dyDescent="0.3">
      <c r="P53"/>
      <c r="Q53"/>
    </row>
    <row r="54" spans="16:17" x14ac:dyDescent="0.3">
      <c r="P54"/>
      <c r="Q54"/>
    </row>
    <row r="55" spans="16:17" x14ac:dyDescent="0.3">
      <c r="P55"/>
      <c r="Q55"/>
    </row>
    <row r="56" spans="16:17" x14ac:dyDescent="0.3">
      <c r="P56"/>
      <c r="Q56"/>
    </row>
    <row r="57" spans="16:17" x14ac:dyDescent="0.3">
      <c r="P57"/>
      <c r="Q57"/>
    </row>
    <row r="58" spans="16:17" x14ac:dyDescent="0.3">
      <c r="P58"/>
      <c r="Q58"/>
    </row>
    <row r="59" spans="16:17" x14ac:dyDescent="0.3">
      <c r="P59"/>
      <c r="Q59"/>
    </row>
    <row r="60" spans="16:17" x14ac:dyDescent="0.3">
      <c r="P60"/>
      <c r="Q60"/>
    </row>
    <row r="61" spans="16:17" x14ac:dyDescent="0.3">
      <c r="P61"/>
      <c r="Q61"/>
    </row>
    <row r="62" spans="16:17" x14ac:dyDescent="0.3">
      <c r="P62"/>
      <c r="Q62"/>
    </row>
    <row r="63" spans="16:17" x14ac:dyDescent="0.3">
      <c r="P63"/>
      <c r="Q63"/>
    </row>
    <row r="64" spans="16:17" x14ac:dyDescent="0.3">
      <c r="P64"/>
      <c r="Q64"/>
    </row>
    <row r="65" spans="16:17" x14ac:dyDescent="0.3">
      <c r="P65"/>
      <c r="Q65"/>
    </row>
    <row r="66" spans="16:17" x14ac:dyDescent="0.3">
      <c r="P66"/>
      <c r="Q66"/>
    </row>
    <row r="67" spans="16:17" x14ac:dyDescent="0.3">
      <c r="P67"/>
      <c r="Q67"/>
    </row>
    <row r="68" spans="16:17" x14ac:dyDescent="0.3">
      <c r="P68"/>
      <c r="Q68"/>
    </row>
    <row r="69" spans="16:17" x14ac:dyDescent="0.3">
      <c r="P69"/>
      <c r="Q69"/>
    </row>
    <row r="70" spans="16:17" x14ac:dyDescent="0.3">
      <c r="P70"/>
      <c r="Q70"/>
    </row>
    <row r="71" spans="16:17" x14ac:dyDescent="0.3">
      <c r="P71"/>
      <c r="Q71"/>
    </row>
    <row r="72" spans="16:17" x14ac:dyDescent="0.3">
      <c r="P72"/>
      <c r="Q72"/>
    </row>
    <row r="73" spans="16:17" x14ac:dyDescent="0.3">
      <c r="P73"/>
      <c r="Q73"/>
    </row>
    <row r="74" spans="16:17" x14ac:dyDescent="0.3">
      <c r="P74"/>
      <c r="Q74"/>
    </row>
    <row r="75" spans="16:17" x14ac:dyDescent="0.3">
      <c r="P75"/>
      <c r="Q75"/>
    </row>
    <row r="76" spans="16:17" x14ac:dyDescent="0.3">
      <c r="P76"/>
      <c r="Q76"/>
    </row>
    <row r="77" spans="16:17" x14ac:dyDescent="0.3">
      <c r="P77"/>
      <c r="Q77"/>
    </row>
    <row r="78" spans="16:17" x14ac:dyDescent="0.3">
      <c r="P78"/>
      <c r="Q78"/>
    </row>
    <row r="79" spans="16:17" x14ac:dyDescent="0.3">
      <c r="P79"/>
      <c r="Q79"/>
    </row>
    <row r="80" spans="16:17" x14ac:dyDescent="0.3">
      <c r="P80"/>
      <c r="Q80"/>
    </row>
    <row r="81" spans="16:17" x14ac:dyDescent="0.3">
      <c r="P81"/>
      <c r="Q81"/>
    </row>
    <row r="82" spans="16:17" x14ac:dyDescent="0.3">
      <c r="P82"/>
      <c r="Q82"/>
    </row>
    <row r="83" spans="16:17" x14ac:dyDescent="0.3">
      <c r="P83"/>
      <c r="Q83"/>
    </row>
    <row r="84" spans="16:17" x14ac:dyDescent="0.3">
      <c r="P84"/>
      <c r="Q84"/>
    </row>
    <row r="85" spans="16:17" x14ac:dyDescent="0.3">
      <c r="P85"/>
      <c r="Q85"/>
    </row>
    <row r="86" spans="16:17" x14ac:dyDescent="0.3">
      <c r="P86"/>
      <c r="Q86"/>
    </row>
    <row r="87" spans="16:17" x14ac:dyDescent="0.3">
      <c r="P87"/>
      <c r="Q87"/>
    </row>
    <row r="88" spans="16:17" x14ac:dyDescent="0.3">
      <c r="P88"/>
      <c r="Q88"/>
    </row>
    <row r="89" spans="16:17" x14ac:dyDescent="0.3">
      <c r="P89"/>
      <c r="Q89"/>
    </row>
    <row r="90" spans="16:17" x14ac:dyDescent="0.3">
      <c r="P90"/>
      <c r="Q90"/>
    </row>
    <row r="91" spans="16:17" x14ac:dyDescent="0.3">
      <c r="P91"/>
      <c r="Q91"/>
    </row>
    <row r="92" spans="16:17" x14ac:dyDescent="0.3">
      <c r="P92"/>
      <c r="Q92"/>
    </row>
    <row r="93" spans="16:17" x14ac:dyDescent="0.3">
      <c r="P93"/>
      <c r="Q93"/>
    </row>
    <row r="94" spans="16:17" x14ac:dyDescent="0.3">
      <c r="P94"/>
      <c r="Q94"/>
    </row>
    <row r="95" spans="16:17" x14ac:dyDescent="0.3">
      <c r="P95"/>
      <c r="Q95"/>
    </row>
    <row r="96" spans="16:17" x14ac:dyDescent="0.3">
      <c r="P96"/>
      <c r="Q96"/>
    </row>
    <row r="97" spans="16:17" x14ac:dyDescent="0.3">
      <c r="P97"/>
      <c r="Q97"/>
    </row>
    <row r="98" spans="16:17" x14ac:dyDescent="0.3">
      <c r="P98"/>
      <c r="Q98"/>
    </row>
    <row r="99" spans="16:17" x14ac:dyDescent="0.3">
      <c r="P99"/>
      <c r="Q99"/>
    </row>
    <row r="100" spans="16:17" x14ac:dyDescent="0.3">
      <c r="P100"/>
      <c r="Q100"/>
    </row>
    <row r="101" spans="16:17" x14ac:dyDescent="0.3">
      <c r="P101"/>
      <c r="Q101"/>
    </row>
    <row r="102" spans="16:17" x14ac:dyDescent="0.3">
      <c r="P102"/>
      <c r="Q102"/>
    </row>
    <row r="103" spans="16:17" x14ac:dyDescent="0.3">
      <c r="P103"/>
      <c r="Q103"/>
    </row>
    <row r="104" spans="16:17" x14ac:dyDescent="0.3">
      <c r="P104"/>
      <c r="Q104"/>
    </row>
    <row r="105" spans="16:17" x14ac:dyDescent="0.3">
      <c r="P105"/>
      <c r="Q105"/>
    </row>
    <row r="106" spans="16:17" x14ac:dyDescent="0.3">
      <c r="P106"/>
      <c r="Q106"/>
    </row>
    <row r="107" spans="16:17" x14ac:dyDescent="0.3">
      <c r="P107"/>
      <c r="Q107"/>
    </row>
    <row r="108" spans="16:17" x14ac:dyDescent="0.3">
      <c r="P108"/>
      <c r="Q108"/>
    </row>
    <row r="109" spans="16:17" x14ac:dyDescent="0.3">
      <c r="P109"/>
      <c r="Q109"/>
    </row>
    <row r="110" spans="16:17" x14ac:dyDescent="0.3">
      <c r="P110"/>
      <c r="Q110"/>
    </row>
    <row r="111" spans="16:17" x14ac:dyDescent="0.3">
      <c r="P111"/>
      <c r="Q111"/>
    </row>
    <row r="112" spans="16:17" x14ac:dyDescent="0.3">
      <c r="P112"/>
      <c r="Q112"/>
    </row>
    <row r="113" spans="16:17" x14ac:dyDescent="0.3">
      <c r="P113"/>
      <c r="Q113"/>
    </row>
    <row r="114" spans="16:17" x14ac:dyDescent="0.3">
      <c r="P114"/>
      <c r="Q114"/>
    </row>
    <row r="115" spans="16:17" x14ac:dyDescent="0.3">
      <c r="P115"/>
      <c r="Q115"/>
    </row>
    <row r="116" spans="16:17" x14ac:dyDescent="0.3">
      <c r="P116"/>
      <c r="Q116"/>
    </row>
    <row r="117" spans="16:17" x14ac:dyDescent="0.3">
      <c r="P117"/>
      <c r="Q117"/>
    </row>
    <row r="118" spans="16:17" x14ac:dyDescent="0.3">
      <c r="P118"/>
      <c r="Q118"/>
    </row>
    <row r="119" spans="16:17" x14ac:dyDescent="0.3">
      <c r="P119"/>
      <c r="Q119"/>
    </row>
    <row r="120" spans="16:17" x14ac:dyDescent="0.3">
      <c r="P120"/>
      <c r="Q120"/>
    </row>
    <row r="121" spans="16:17" x14ac:dyDescent="0.3">
      <c r="P121"/>
      <c r="Q121"/>
    </row>
    <row r="122" spans="16:17" x14ac:dyDescent="0.3">
      <c r="P122"/>
      <c r="Q122"/>
    </row>
    <row r="123" spans="16:17" x14ac:dyDescent="0.3">
      <c r="P123"/>
      <c r="Q123"/>
    </row>
    <row r="124" spans="16:17" x14ac:dyDescent="0.3">
      <c r="P124"/>
      <c r="Q124"/>
    </row>
    <row r="125" spans="16:17" x14ac:dyDescent="0.3">
      <c r="P125"/>
      <c r="Q125"/>
    </row>
    <row r="126" spans="16:17" x14ac:dyDescent="0.3">
      <c r="P126"/>
      <c r="Q126"/>
    </row>
    <row r="127" spans="16:17" x14ac:dyDescent="0.3">
      <c r="P127"/>
      <c r="Q127"/>
    </row>
    <row r="128" spans="16:17" x14ac:dyDescent="0.3">
      <c r="P128"/>
      <c r="Q128"/>
    </row>
    <row r="129" spans="16:17" x14ac:dyDescent="0.3">
      <c r="P129"/>
      <c r="Q129"/>
    </row>
    <row r="130" spans="16:17" x14ac:dyDescent="0.3">
      <c r="P130"/>
      <c r="Q130"/>
    </row>
    <row r="131" spans="16:17" x14ac:dyDescent="0.3">
      <c r="P131"/>
      <c r="Q131"/>
    </row>
    <row r="132" spans="16:17" x14ac:dyDescent="0.3">
      <c r="P132"/>
      <c r="Q132"/>
    </row>
    <row r="133" spans="16:17" x14ac:dyDescent="0.3">
      <c r="P133"/>
      <c r="Q133"/>
    </row>
    <row r="134" spans="16:17" x14ac:dyDescent="0.3">
      <c r="P134"/>
      <c r="Q134"/>
    </row>
    <row r="135" spans="16:17" x14ac:dyDescent="0.3">
      <c r="P135"/>
      <c r="Q135"/>
    </row>
    <row r="136" spans="16:17" x14ac:dyDescent="0.3">
      <c r="P136"/>
      <c r="Q136"/>
    </row>
    <row r="137" spans="16:17" x14ac:dyDescent="0.3">
      <c r="P137"/>
      <c r="Q137"/>
    </row>
    <row r="138" spans="16:17" x14ac:dyDescent="0.3">
      <c r="P138"/>
      <c r="Q138"/>
    </row>
    <row r="139" spans="16:17" x14ac:dyDescent="0.3">
      <c r="P139"/>
      <c r="Q139"/>
    </row>
    <row r="140" spans="16:17" x14ac:dyDescent="0.3">
      <c r="P140"/>
      <c r="Q140"/>
    </row>
    <row r="141" spans="16:17" x14ac:dyDescent="0.3">
      <c r="P141"/>
      <c r="Q141"/>
    </row>
    <row r="142" spans="16:17" x14ac:dyDescent="0.3">
      <c r="P142"/>
      <c r="Q142"/>
    </row>
    <row r="143" spans="16:17" x14ac:dyDescent="0.3">
      <c r="P143"/>
      <c r="Q143"/>
    </row>
    <row r="144" spans="16:17" x14ac:dyDescent="0.3">
      <c r="P144"/>
      <c r="Q144"/>
    </row>
    <row r="145" spans="16:17" x14ac:dyDescent="0.3">
      <c r="P145"/>
      <c r="Q145"/>
    </row>
    <row r="146" spans="16:17" x14ac:dyDescent="0.3">
      <c r="P146"/>
      <c r="Q146"/>
    </row>
    <row r="147" spans="16:17" x14ac:dyDescent="0.3">
      <c r="P147"/>
      <c r="Q147"/>
    </row>
    <row r="148" spans="16:17" x14ac:dyDescent="0.3">
      <c r="P148"/>
      <c r="Q148"/>
    </row>
    <row r="149" spans="16:17" x14ac:dyDescent="0.3">
      <c r="P149"/>
      <c r="Q149"/>
    </row>
    <row r="150" spans="16:17" x14ac:dyDescent="0.3">
      <c r="P150"/>
      <c r="Q150"/>
    </row>
    <row r="151" spans="16:17" x14ac:dyDescent="0.3">
      <c r="P151"/>
      <c r="Q151"/>
    </row>
    <row r="152" spans="16:17" x14ac:dyDescent="0.3">
      <c r="P152"/>
      <c r="Q152"/>
    </row>
    <row r="153" spans="16:17" x14ac:dyDescent="0.3">
      <c r="P153"/>
      <c r="Q153"/>
    </row>
    <row r="154" spans="16:17" x14ac:dyDescent="0.3">
      <c r="P154"/>
      <c r="Q154"/>
    </row>
    <row r="155" spans="16:17" x14ac:dyDescent="0.3">
      <c r="P155"/>
      <c r="Q155"/>
    </row>
    <row r="156" spans="16:17" x14ac:dyDescent="0.3">
      <c r="P156"/>
      <c r="Q156"/>
    </row>
    <row r="157" spans="16:17" x14ac:dyDescent="0.3">
      <c r="P157"/>
      <c r="Q157"/>
    </row>
    <row r="158" spans="16:17" x14ac:dyDescent="0.3">
      <c r="P158"/>
      <c r="Q158"/>
    </row>
    <row r="159" spans="16:17" x14ac:dyDescent="0.3">
      <c r="P159"/>
      <c r="Q159"/>
    </row>
    <row r="160" spans="16:17" x14ac:dyDescent="0.3">
      <c r="P160"/>
      <c r="Q160"/>
    </row>
    <row r="161" spans="16:17" x14ac:dyDescent="0.3">
      <c r="P161"/>
      <c r="Q161"/>
    </row>
    <row r="162" spans="16:17" x14ac:dyDescent="0.3">
      <c r="P162"/>
      <c r="Q162"/>
    </row>
    <row r="163" spans="16:17" x14ac:dyDescent="0.3">
      <c r="P163"/>
      <c r="Q163"/>
    </row>
    <row r="164" spans="16:17" x14ac:dyDescent="0.3">
      <c r="P164"/>
      <c r="Q164"/>
    </row>
    <row r="165" spans="16:17" x14ac:dyDescent="0.3">
      <c r="P165"/>
      <c r="Q165"/>
    </row>
    <row r="166" spans="16:17" x14ac:dyDescent="0.3">
      <c r="P166"/>
      <c r="Q166"/>
    </row>
    <row r="167" spans="16:17" x14ac:dyDescent="0.3">
      <c r="P167"/>
      <c r="Q167"/>
    </row>
    <row r="168" spans="16:17" x14ac:dyDescent="0.3">
      <c r="P168"/>
      <c r="Q168"/>
    </row>
    <row r="169" spans="16:17" x14ac:dyDescent="0.3">
      <c r="P169"/>
      <c r="Q169"/>
    </row>
    <row r="170" spans="16:17" x14ac:dyDescent="0.3">
      <c r="P170"/>
      <c r="Q170"/>
    </row>
    <row r="171" spans="16:17" x14ac:dyDescent="0.3">
      <c r="P171"/>
      <c r="Q171"/>
    </row>
    <row r="172" spans="16:17" x14ac:dyDescent="0.3">
      <c r="P172"/>
      <c r="Q172"/>
    </row>
    <row r="173" spans="16:17" x14ac:dyDescent="0.3">
      <c r="P173"/>
      <c r="Q173"/>
    </row>
    <row r="174" spans="16:17" x14ac:dyDescent="0.3">
      <c r="P174"/>
      <c r="Q174"/>
    </row>
    <row r="175" spans="16:17" x14ac:dyDescent="0.3">
      <c r="P175"/>
      <c r="Q175"/>
    </row>
    <row r="176" spans="16:17" x14ac:dyDescent="0.3">
      <c r="P176"/>
      <c r="Q176"/>
    </row>
    <row r="177" spans="16:17" x14ac:dyDescent="0.3">
      <c r="P177"/>
      <c r="Q177"/>
    </row>
    <row r="178" spans="16:17" x14ac:dyDescent="0.3">
      <c r="P178"/>
      <c r="Q178"/>
    </row>
    <row r="179" spans="16:17" x14ac:dyDescent="0.3">
      <c r="P179"/>
      <c r="Q179"/>
    </row>
    <row r="180" spans="16:17" x14ac:dyDescent="0.3">
      <c r="P180"/>
      <c r="Q180"/>
    </row>
    <row r="181" spans="16:17" x14ac:dyDescent="0.3">
      <c r="P181"/>
      <c r="Q181"/>
    </row>
    <row r="182" spans="16:17" x14ac:dyDescent="0.3">
      <c r="P182"/>
      <c r="Q182"/>
    </row>
    <row r="183" spans="16:17" x14ac:dyDescent="0.3">
      <c r="P183"/>
      <c r="Q183"/>
    </row>
    <row r="184" spans="16:17" x14ac:dyDescent="0.3">
      <c r="P184"/>
      <c r="Q184"/>
    </row>
    <row r="185" spans="16:17" x14ac:dyDescent="0.3">
      <c r="P185"/>
      <c r="Q185"/>
    </row>
    <row r="186" spans="16:17" x14ac:dyDescent="0.3">
      <c r="P186"/>
      <c r="Q186"/>
    </row>
    <row r="187" spans="16:17" x14ac:dyDescent="0.3">
      <c r="P187"/>
      <c r="Q187"/>
    </row>
    <row r="188" spans="16:17" x14ac:dyDesce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r="191" spans="16:17" x14ac:dyDescent="0.3">
      <c r="P191"/>
      <c r="Q191"/>
    </row>
    <row r="192" spans="16:17" x14ac:dyDescent="0.3">
      <c r="P192"/>
      <c r="Q192"/>
    </row>
    <row r="193" spans="16:17" x14ac:dyDescent="0.3">
      <c r="P193"/>
      <c r="Q193"/>
    </row>
    <row r="194" spans="16:17" x14ac:dyDescent="0.3">
      <c r="P194"/>
      <c r="Q194"/>
    </row>
    <row r="195" spans="16:17" x14ac:dyDescent="0.3">
      <c r="P195"/>
      <c r="Q195"/>
    </row>
    <row r="196" spans="16:17" x14ac:dyDescent="0.3">
      <c r="P196"/>
      <c r="Q196"/>
    </row>
    <row r="197" spans="16:17" x14ac:dyDescent="0.3">
      <c r="P197"/>
      <c r="Q197"/>
    </row>
    <row r="198" spans="16:17" x14ac:dyDescent="0.3">
      <c r="P198"/>
      <c r="Q198"/>
    </row>
    <row r="199" spans="16:17" x14ac:dyDescent="0.3">
      <c r="P199"/>
      <c r="Q199"/>
    </row>
    <row r="200" spans="16:17" x14ac:dyDescent="0.3">
      <c r="P200"/>
      <c r="Q200"/>
    </row>
    <row r="201" spans="16:17" x14ac:dyDescent="0.3">
      <c r="P201"/>
      <c r="Q201"/>
    </row>
    <row r="202" spans="16:17" x14ac:dyDescent="0.3">
      <c r="P202"/>
      <c r="Q202"/>
    </row>
    <row r="203" spans="16:17" x14ac:dyDescent="0.3">
      <c r="P203"/>
      <c r="Q203"/>
    </row>
    <row r="204" spans="16:17" x14ac:dyDescent="0.3">
      <c r="P204"/>
      <c r="Q204"/>
    </row>
    <row r="205" spans="16:17" x14ac:dyDescent="0.3">
      <c r="P205"/>
      <c r="Q205"/>
    </row>
    <row r="206" spans="16:17" x14ac:dyDescent="0.3">
      <c r="P206"/>
      <c r="Q206"/>
    </row>
    <row r="207" spans="16:17" x14ac:dyDescent="0.3">
      <c r="P207"/>
      <c r="Q207"/>
    </row>
    <row r="208" spans="16:17" x14ac:dyDescent="0.3">
      <c r="P208"/>
      <c r="Q208"/>
    </row>
    <row r="209" spans="16:17" x14ac:dyDescent="0.3">
      <c r="P209"/>
      <c r="Q209"/>
    </row>
    <row r="210" spans="16:17" x14ac:dyDescent="0.3">
      <c r="P210"/>
      <c r="Q210"/>
    </row>
    <row r="211" spans="16:17" x14ac:dyDescent="0.3">
      <c r="P211"/>
      <c r="Q211"/>
    </row>
    <row r="212" spans="16:17" x14ac:dyDescent="0.3">
      <c r="P212"/>
      <c r="Q212"/>
    </row>
    <row r="213" spans="16:17" x14ac:dyDescent="0.3">
      <c r="P213"/>
      <c r="Q213"/>
    </row>
    <row r="214" spans="16:17" x14ac:dyDescent="0.3">
      <c r="P214"/>
      <c r="Q214"/>
    </row>
    <row r="215" spans="16:17" x14ac:dyDescent="0.3">
      <c r="P215"/>
      <c r="Q215"/>
    </row>
    <row r="216" spans="16:17" x14ac:dyDescent="0.3">
      <c r="P216"/>
      <c r="Q216"/>
    </row>
    <row r="217" spans="16:17" x14ac:dyDescent="0.3">
      <c r="P217"/>
      <c r="Q217"/>
    </row>
    <row r="218" spans="16:17" x14ac:dyDescent="0.3">
      <c r="P218"/>
      <c r="Q218"/>
    </row>
    <row r="219" spans="16:17" x14ac:dyDescent="0.3">
      <c r="P219"/>
      <c r="Q219"/>
    </row>
    <row r="220" spans="16:17" x14ac:dyDescent="0.3">
      <c r="P220"/>
      <c r="Q220"/>
    </row>
    <row r="221" spans="16:17" x14ac:dyDescent="0.3">
      <c r="P221"/>
      <c r="Q221"/>
    </row>
    <row r="222" spans="16:17" x14ac:dyDescent="0.3">
      <c r="P222"/>
      <c r="Q222"/>
    </row>
    <row r="223" spans="16:17" x14ac:dyDescent="0.3">
      <c r="P223"/>
      <c r="Q223"/>
    </row>
    <row r="224" spans="16:17" x14ac:dyDescent="0.3">
      <c r="P224"/>
      <c r="Q224"/>
    </row>
    <row r="225" spans="16:17" x14ac:dyDescent="0.3">
      <c r="P225"/>
      <c r="Q225"/>
    </row>
    <row r="226" spans="16:17" x14ac:dyDescent="0.3">
      <c r="P226"/>
      <c r="Q226"/>
    </row>
    <row r="227" spans="16:17" x14ac:dyDescent="0.3">
      <c r="P227"/>
      <c r="Q227"/>
    </row>
    <row r="228" spans="16:17" x14ac:dyDescent="0.3">
      <c r="P228"/>
      <c r="Q228"/>
    </row>
    <row r="229" spans="16:17" x14ac:dyDescent="0.3">
      <c r="P229"/>
      <c r="Q229"/>
    </row>
    <row r="230" spans="16:17" x14ac:dyDescent="0.3">
      <c r="P230"/>
      <c r="Q230"/>
    </row>
    <row r="231" spans="16:17" x14ac:dyDescent="0.3">
      <c r="P231"/>
      <c r="Q231"/>
    </row>
    <row r="232" spans="16:17" x14ac:dyDescent="0.3">
      <c r="P232"/>
      <c r="Q232"/>
    </row>
    <row r="233" spans="16:17" x14ac:dyDescent="0.3">
      <c r="P233"/>
      <c r="Q233"/>
    </row>
    <row r="234" spans="16:17" x14ac:dyDescent="0.3">
      <c r="P234"/>
      <c r="Q234"/>
    </row>
    <row r="235" spans="16:17" x14ac:dyDescent="0.3">
      <c r="P235"/>
      <c r="Q235"/>
    </row>
    <row r="236" spans="16:17" x14ac:dyDescent="0.3">
      <c r="P236"/>
      <c r="Q236"/>
    </row>
    <row r="237" spans="16:17" x14ac:dyDescent="0.3">
      <c r="P237"/>
      <c r="Q237"/>
    </row>
    <row r="238" spans="16:17" x14ac:dyDescent="0.3">
      <c r="P238"/>
      <c r="Q238"/>
    </row>
    <row r="239" spans="16:17" x14ac:dyDescent="0.3">
      <c r="P239"/>
      <c r="Q239"/>
    </row>
    <row r="240" spans="16:17" x14ac:dyDescent="0.3">
      <c r="P240"/>
      <c r="Q240"/>
    </row>
    <row r="241" spans="16:17" x14ac:dyDescent="0.3">
      <c r="P241"/>
      <c r="Q241"/>
    </row>
    <row r="242" spans="16:17" x14ac:dyDescent="0.3">
      <c r="P242"/>
      <c r="Q242"/>
    </row>
    <row r="243" spans="16:17" x14ac:dyDescent="0.3">
      <c r="P243"/>
      <c r="Q243"/>
    </row>
    <row r="244" spans="16:17" x14ac:dyDescent="0.3">
      <c r="P244"/>
      <c r="Q244"/>
    </row>
    <row r="245" spans="16:17" x14ac:dyDescent="0.3">
      <c r="P245"/>
      <c r="Q245"/>
    </row>
    <row r="246" spans="16:17" x14ac:dyDescent="0.3">
      <c r="P246"/>
      <c r="Q246"/>
    </row>
    <row r="247" spans="16:17" x14ac:dyDescent="0.3">
      <c r="P247"/>
      <c r="Q247"/>
    </row>
    <row r="248" spans="16:17" x14ac:dyDescent="0.3">
      <c r="P248"/>
      <c r="Q248"/>
    </row>
    <row r="249" spans="16:17" x14ac:dyDescent="0.3">
      <c r="P249"/>
      <c r="Q249"/>
    </row>
    <row r="250" spans="16:17" x14ac:dyDescent="0.3">
      <c r="P250"/>
      <c r="Q250"/>
    </row>
    <row r="251" spans="16:17" x14ac:dyDescent="0.3">
      <c r="P251"/>
      <c r="Q251"/>
    </row>
    <row r="252" spans="16:17" x14ac:dyDescent="0.3">
      <c r="P252"/>
      <c r="Q252"/>
    </row>
    <row r="253" spans="16:17" x14ac:dyDescent="0.3">
      <c r="P253"/>
      <c r="Q253"/>
    </row>
    <row r="254" spans="16:17" x14ac:dyDescent="0.3">
      <c r="P254"/>
      <c r="Q254"/>
    </row>
    <row r="255" spans="16:17" x14ac:dyDescent="0.3">
      <c r="P255"/>
      <c r="Q255"/>
    </row>
    <row r="256" spans="16:17" x14ac:dyDescent="0.3">
      <c r="P256"/>
      <c r="Q256"/>
    </row>
    <row r="257" spans="16:17" x14ac:dyDescent="0.3">
      <c r="P257"/>
      <c r="Q257"/>
    </row>
    <row r="258" spans="16:17" x14ac:dyDescent="0.3">
      <c r="P258"/>
      <c r="Q258"/>
    </row>
    <row r="259" spans="16:17" x14ac:dyDescent="0.3">
      <c r="P259"/>
      <c r="Q259"/>
    </row>
    <row r="260" spans="16:17" x14ac:dyDescent="0.3">
      <c r="P260"/>
      <c r="Q260"/>
    </row>
    <row r="261" spans="16:17" x14ac:dyDescent="0.3">
      <c r="P261"/>
      <c r="Q261"/>
    </row>
    <row r="262" spans="16:17" x14ac:dyDescent="0.3">
      <c r="P262"/>
      <c r="Q262"/>
    </row>
    <row r="263" spans="16:17" x14ac:dyDescent="0.3">
      <c r="P263"/>
      <c r="Q263"/>
    </row>
    <row r="264" spans="16:17" x14ac:dyDescent="0.3">
      <c r="P264"/>
      <c r="Q264"/>
    </row>
    <row r="265" spans="16:17" x14ac:dyDescent="0.3">
      <c r="P265"/>
      <c r="Q265"/>
    </row>
    <row r="266" spans="16:17" x14ac:dyDescent="0.3">
      <c r="P266"/>
      <c r="Q266"/>
    </row>
    <row r="267" spans="16:17" x14ac:dyDescent="0.3">
      <c r="P267"/>
      <c r="Q267"/>
    </row>
    <row r="268" spans="16:17" x14ac:dyDescent="0.3">
      <c r="P268"/>
      <c r="Q268"/>
    </row>
    <row r="269" spans="16:17" x14ac:dyDescent="0.3">
      <c r="P269"/>
      <c r="Q269"/>
    </row>
    <row r="270" spans="16:17" x14ac:dyDescent="0.3">
      <c r="P270"/>
      <c r="Q270"/>
    </row>
    <row r="271" spans="16:17" x14ac:dyDescent="0.3">
      <c r="P271"/>
      <c r="Q271"/>
    </row>
    <row r="272" spans="16:17" x14ac:dyDescent="0.3">
      <c r="P272"/>
      <c r="Q272"/>
    </row>
    <row r="273" spans="16:17" x14ac:dyDescent="0.3">
      <c r="P273"/>
      <c r="Q273"/>
    </row>
    <row r="274" spans="16:17" x14ac:dyDescent="0.3">
      <c r="P274"/>
      <c r="Q274"/>
    </row>
    <row r="275" spans="16:17" x14ac:dyDescent="0.3">
      <c r="P275"/>
      <c r="Q275"/>
    </row>
    <row r="276" spans="16:17" x14ac:dyDescent="0.3">
      <c r="P276"/>
      <c r="Q276"/>
    </row>
    <row r="277" spans="16:17" x14ac:dyDescent="0.3">
      <c r="P277"/>
      <c r="Q277"/>
    </row>
    <row r="278" spans="16:17" x14ac:dyDescent="0.3">
      <c r="P278"/>
      <c r="Q278"/>
    </row>
    <row r="279" spans="16:17" x14ac:dyDescent="0.3">
      <c r="P279"/>
      <c r="Q279"/>
    </row>
    <row r="280" spans="16:17" x14ac:dyDescent="0.3">
      <c r="P280"/>
      <c r="Q280"/>
    </row>
    <row r="281" spans="16:17" x14ac:dyDescent="0.3">
      <c r="P281"/>
      <c r="Q281"/>
    </row>
    <row r="282" spans="16:17" x14ac:dyDescent="0.3">
      <c r="P282"/>
      <c r="Q282"/>
    </row>
    <row r="283" spans="16:17" x14ac:dyDescent="0.3">
      <c r="P283"/>
      <c r="Q283"/>
    </row>
    <row r="284" spans="16:17" x14ac:dyDescent="0.3">
      <c r="P284"/>
      <c r="Q284"/>
    </row>
    <row r="285" spans="16:17" x14ac:dyDescent="0.3">
      <c r="P285"/>
      <c r="Q285"/>
    </row>
    <row r="286" spans="16:17" x14ac:dyDescent="0.3">
      <c r="P286"/>
      <c r="Q286"/>
    </row>
    <row r="287" spans="16:17" x14ac:dyDescent="0.3">
      <c r="P287"/>
      <c r="Q287"/>
    </row>
    <row r="288" spans="16:17" x14ac:dyDescent="0.3">
      <c r="P288"/>
      <c r="Q288"/>
    </row>
    <row r="289" spans="16:17" x14ac:dyDescent="0.3">
      <c r="P289"/>
      <c r="Q289"/>
    </row>
    <row r="290" spans="16:17" x14ac:dyDescent="0.3">
      <c r="P290"/>
      <c r="Q290"/>
    </row>
    <row r="291" spans="16:17" x14ac:dyDescent="0.3">
      <c r="P291"/>
      <c r="Q291"/>
    </row>
    <row r="292" spans="16:17" x14ac:dyDescent="0.3">
      <c r="P292"/>
      <c r="Q292"/>
    </row>
    <row r="293" spans="16:17" x14ac:dyDescent="0.3">
      <c r="P293"/>
      <c r="Q293"/>
    </row>
    <row r="294" spans="16:17" x14ac:dyDescent="0.3">
      <c r="P294"/>
      <c r="Q294"/>
    </row>
    <row r="295" spans="16:17" x14ac:dyDescent="0.3">
      <c r="P295"/>
      <c r="Q295"/>
    </row>
    <row r="296" spans="16:17" x14ac:dyDescent="0.3">
      <c r="P296"/>
      <c r="Q296"/>
    </row>
    <row r="297" spans="16:17" x14ac:dyDescent="0.3">
      <c r="P297"/>
      <c r="Q297"/>
    </row>
    <row r="298" spans="16:17" x14ac:dyDescent="0.3">
      <c r="P298"/>
      <c r="Q298"/>
    </row>
    <row r="299" spans="16:17" x14ac:dyDescent="0.3">
      <c r="P299"/>
      <c r="Q299"/>
    </row>
    <row r="300" spans="16:17" x14ac:dyDescent="0.3">
      <c r="P300"/>
      <c r="Q300"/>
    </row>
    <row r="301" spans="16:17" x14ac:dyDescent="0.3">
      <c r="P301"/>
      <c r="Q301"/>
    </row>
    <row r="302" spans="16:17" x14ac:dyDescent="0.3">
      <c r="P302"/>
      <c r="Q302"/>
    </row>
    <row r="303" spans="16:17" x14ac:dyDescent="0.3">
      <c r="P303"/>
      <c r="Q303"/>
    </row>
    <row r="304" spans="16:17" x14ac:dyDescent="0.3">
      <c r="P304"/>
      <c r="Q304"/>
    </row>
    <row r="305" spans="16:17" x14ac:dyDescent="0.3">
      <c r="P305"/>
      <c r="Q305"/>
    </row>
    <row r="306" spans="16:17" x14ac:dyDescent="0.3">
      <c r="P306"/>
      <c r="Q306"/>
    </row>
    <row r="307" spans="16:17" x14ac:dyDescent="0.3">
      <c r="P307"/>
      <c r="Q307"/>
    </row>
    <row r="308" spans="16:17" x14ac:dyDescent="0.3">
      <c r="P308"/>
      <c r="Q308"/>
    </row>
    <row r="309" spans="16:17" x14ac:dyDescent="0.3">
      <c r="P309"/>
      <c r="Q309"/>
    </row>
    <row r="310" spans="16:17" x14ac:dyDescent="0.3">
      <c r="P310"/>
      <c r="Q310"/>
    </row>
    <row r="311" spans="16:17" x14ac:dyDescent="0.3">
      <c r="P311"/>
      <c r="Q311"/>
    </row>
    <row r="312" spans="16:17" x14ac:dyDescent="0.3">
      <c r="P312"/>
      <c r="Q312"/>
    </row>
    <row r="313" spans="16:17" x14ac:dyDescent="0.3">
      <c r="P313"/>
      <c r="Q313"/>
    </row>
    <row r="314" spans="16:17" x14ac:dyDescent="0.3">
      <c r="P314"/>
      <c r="Q314"/>
    </row>
    <row r="315" spans="16:17" x14ac:dyDescent="0.3">
      <c r="P315"/>
      <c r="Q315"/>
    </row>
    <row r="316" spans="16:17" x14ac:dyDescent="0.3">
      <c r="P316"/>
      <c r="Q316"/>
    </row>
    <row r="317" spans="16:17" x14ac:dyDescent="0.3">
      <c r="P317"/>
      <c r="Q317"/>
    </row>
    <row r="318" spans="16:17" x14ac:dyDescent="0.3">
      <c r="P318"/>
      <c r="Q318"/>
    </row>
    <row r="319" spans="16:17" x14ac:dyDescent="0.3">
      <c r="P319"/>
      <c r="Q319"/>
    </row>
    <row r="320" spans="16:17" x14ac:dyDescent="0.3">
      <c r="P320"/>
      <c r="Q320"/>
    </row>
    <row r="321" spans="16:17" x14ac:dyDescent="0.3">
      <c r="P321"/>
      <c r="Q321"/>
    </row>
    <row r="322" spans="16:17" x14ac:dyDescent="0.3">
      <c r="P322"/>
      <c r="Q322"/>
    </row>
    <row r="323" spans="16:17" x14ac:dyDescent="0.3">
      <c r="P323"/>
      <c r="Q323"/>
    </row>
    <row r="324" spans="16:17" x14ac:dyDescent="0.3">
      <c r="P324"/>
      <c r="Q324"/>
    </row>
    <row r="325" spans="16:17" x14ac:dyDescent="0.3">
      <c r="P325"/>
      <c r="Q325"/>
    </row>
    <row r="326" spans="16:17" x14ac:dyDescent="0.3">
      <c r="P326"/>
      <c r="Q326"/>
    </row>
    <row r="327" spans="16:17" x14ac:dyDescent="0.3">
      <c r="P327"/>
      <c r="Q327"/>
    </row>
    <row r="328" spans="16:17" x14ac:dyDescent="0.3">
      <c r="P328"/>
      <c r="Q328"/>
    </row>
    <row r="329" spans="16:17" x14ac:dyDescent="0.3">
      <c r="P329"/>
      <c r="Q329"/>
    </row>
    <row r="330" spans="16:17" x14ac:dyDescent="0.3">
      <c r="P330"/>
      <c r="Q330"/>
    </row>
    <row r="331" spans="16:17" x14ac:dyDescent="0.3">
      <c r="P331"/>
      <c r="Q331"/>
    </row>
    <row r="332" spans="16:17" x14ac:dyDescent="0.3">
      <c r="P332"/>
      <c r="Q332"/>
    </row>
    <row r="333" spans="16:17" x14ac:dyDescent="0.3">
      <c r="P333"/>
      <c r="Q333"/>
    </row>
    <row r="334" spans="16:17" x14ac:dyDescent="0.3">
      <c r="P334"/>
      <c r="Q334"/>
    </row>
    <row r="335" spans="16:17" x14ac:dyDescent="0.3">
      <c r="P335"/>
      <c r="Q335"/>
    </row>
    <row r="336" spans="16:17" x14ac:dyDescent="0.3">
      <c r="P336"/>
      <c r="Q336"/>
    </row>
    <row r="337" spans="16:17" x14ac:dyDescent="0.3">
      <c r="P337"/>
      <c r="Q337"/>
    </row>
    <row r="338" spans="16:17" x14ac:dyDescent="0.3">
      <c r="P338"/>
      <c r="Q338"/>
    </row>
    <row r="339" spans="16:17" x14ac:dyDescent="0.3">
      <c r="P339"/>
      <c r="Q339"/>
    </row>
    <row r="340" spans="16:17" x14ac:dyDescent="0.3">
      <c r="P340"/>
      <c r="Q340"/>
    </row>
    <row r="341" spans="16:17" x14ac:dyDescent="0.3">
      <c r="P341"/>
      <c r="Q341"/>
    </row>
    <row r="342" spans="16:17" x14ac:dyDescent="0.3">
      <c r="P342"/>
      <c r="Q342"/>
    </row>
    <row r="343" spans="16:17" x14ac:dyDescent="0.3">
      <c r="P343"/>
      <c r="Q343"/>
    </row>
    <row r="344" spans="16:17" x14ac:dyDescent="0.3">
      <c r="P344"/>
      <c r="Q344"/>
    </row>
    <row r="345" spans="16:17" x14ac:dyDescent="0.3">
      <c r="P345"/>
      <c r="Q345"/>
    </row>
    <row r="346" spans="16:17" x14ac:dyDescent="0.3">
      <c r="P346"/>
      <c r="Q346"/>
    </row>
    <row r="347" spans="16:17" x14ac:dyDescent="0.3">
      <c r="P347"/>
      <c r="Q347"/>
    </row>
    <row r="348" spans="16:17" x14ac:dyDescent="0.3">
      <c r="P348"/>
      <c r="Q348"/>
    </row>
    <row r="349" spans="16:17" x14ac:dyDescent="0.3">
      <c r="P349"/>
      <c r="Q349"/>
    </row>
    <row r="350" spans="16:17" x14ac:dyDescent="0.3">
      <c r="P350"/>
      <c r="Q350"/>
    </row>
    <row r="351" spans="16:17" x14ac:dyDescent="0.3">
      <c r="P351"/>
      <c r="Q351"/>
    </row>
    <row r="352" spans="16:17" x14ac:dyDescent="0.3">
      <c r="P352"/>
      <c r="Q352"/>
    </row>
  </sheetData>
  <mergeCells count="9">
    <mergeCell ref="N23:O23"/>
    <mergeCell ref="N37:O37"/>
    <mergeCell ref="K47:L47"/>
    <mergeCell ref="B1:O1"/>
    <mergeCell ref="B3:G3"/>
    <mergeCell ref="K3:O3"/>
    <mergeCell ref="B12:C12"/>
    <mergeCell ref="K21:K22"/>
    <mergeCell ref="L21:L22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9BD4-23AC-4119-95AA-7BC723B7EA9C}">
  <dimension ref="B1:AN352"/>
  <sheetViews>
    <sheetView zoomScaleNormal="100" workbookViewId="0">
      <selection activeCell="K18" sqref="K18"/>
    </sheetView>
  </sheetViews>
  <sheetFormatPr defaultColWidth="9.33203125" defaultRowHeight="14.4" x14ac:dyDescent="0.3"/>
  <cols>
    <col min="1" max="1" width="1.6640625" customWidth="1"/>
    <col min="2" max="2" width="35.6640625" bestFit="1" customWidth="1"/>
    <col min="3" max="3" width="15.44140625" customWidth="1"/>
    <col min="4" max="5" width="11.33203125" customWidth="1"/>
    <col min="6" max="6" width="32.44140625" bestFit="1" customWidth="1"/>
    <col min="7" max="7" width="10.33203125" customWidth="1"/>
    <col min="8" max="8" width="1.6640625" customWidth="1"/>
    <col min="9" max="10" width="2" customWidth="1"/>
    <col min="11" max="11" width="22.6640625" bestFit="1" customWidth="1"/>
    <col min="12" max="12" width="14.44140625" bestFit="1" customWidth="1"/>
    <col min="13" max="13" width="15.33203125" customWidth="1"/>
    <col min="14" max="14" width="22.6640625" bestFit="1" customWidth="1"/>
    <col min="15" max="15" width="14.44140625" bestFit="1" customWidth="1"/>
    <col min="16" max="16" width="11.44140625" style="1" bestFit="1" customWidth="1"/>
    <col min="17" max="17" width="18.44140625" style="1" bestFit="1" customWidth="1"/>
    <col min="18" max="18" width="18.44140625" hidden="1" customWidth="1"/>
    <col min="19" max="19" width="5.6640625" hidden="1" customWidth="1"/>
    <col min="20" max="39" width="12.33203125" bestFit="1" customWidth="1"/>
    <col min="40" max="40" width="13" bestFit="1" customWidth="1"/>
  </cols>
  <sheetData>
    <row r="1" spans="2:19" ht="28.8" x14ac:dyDescent="0.3"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15" thickBot="1" x14ac:dyDescent="0.35"/>
    <row r="3" spans="2:19" ht="18.600000000000001" thickBot="1" x14ac:dyDescent="0.4">
      <c r="B3" s="45" t="s">
        <v>73</v>
      </c>
      <c r="C3" s="45"/>
      <c r="D3" s="45"/>
      <c r="E3" s="45"/>
      <c r="F3" s="45"/>
      <c r="G3" s="45"/>
      <c r="K3" s="46" t="s">
        <v>65</v>
      </c>
      <c r="L3" s="47"/>
      <c r="M3" s="47"/>
      <c r="N3" s="47"/>
      <c r="O3" s="47"/>
      <c r="Q3"/>
    </row>
    <row r="4" spans="2:19" ht="15" thickBot="1" x14ac:dyDescent="0.35">
      <c r="C4" s="2"/>
      <c r="D4" s="2"/>
      <c r="E4" s="2"/>
      <c r="P4"/>
      <c r="Q4"/>
    </row>
    <row r="5" spans="2:19" ht="16.5" customHeight="1" thickBot="1" x14ac:dyDescent="0.35">
      <c r="B5" s="3" t="s">
        <v>1</v>
      </c>
      <c r="C5" s="4">
        <f>14+27</f>
        <v>41</v>
      </c>
      <c r="D5" s="5"/>
      <c r="E5" s="5" t="s">
        <v>2</v>
      </c>
      <c r="F5" s="6" t="s">
        <v>3</v>
      </c>
      <c r="G5" s="7" t="s">
        <v>4</v>
      </c>
      <c r="K5" s="6" t="s">
        <v>63</v>
      </c>
      <c r="L5" s="8" t="s">
        <v>5</v>
      </c>
      <c r="N5" s="6" t="s">
        <v>64</v>
      </c>
      <c r="O5" s="6"/>
      <c r="Q5"/>
      <c r="R5" s="9" t="s">
        <v>6</v>
      </c>
      <c r="S5" s="9" t="s">
        <v>7</v>
      </c>
    </row>
    <row r="6" spans="2:19" x14ac:dyDescent="0.3">
      <c r="B6" s="10" t="s">
        <v>8</v>
      </c>
      <c r="C6" s="11">
        <f>0+1</f>
        <v>1</v>
      </c>
      <c r="D6" s="5"/>
      <c r="E6" s="12"/>
      <c r="F6" s="13" t="s">
        <v>9</v>
      </c>
      <c r="G6" s="14">
        <v>2</v>
      </c>
      <c r="K6" s="15" t="s">
        <v>10</v>
      </c>
      <c r="L6" s="16">
        <f>3+2+4+13+2</f>
        <v>24</v>
      </c>
      <c r="N6" s="17" t="s">
        <v>9</v>
      </c>
      <c r="O6" s="14">
        <f>2+1</f>
        <v>3</v>
      </c>
      <c r="P6" s="18"/>
      <c r="Q6"/>
      <c r="R6" s="17" t="s">
        <v>11</v>
      </c>
      <c r="S6" s="19">
        <v>3</v>
      </c>
    </row>
    <row r="7" spans="2:19" ht="15" customHeight="1" x14ac:dyDescent="0.3">
      <c r="B7" s="10" t="s">
        <v>12</v>
      </c>
      <c r="C7" s="11">
        <f>8</f>
        <v>8</v>
      </c>
      <c r="D7" s="5"/>
      <c r="E7" s="12"/>
      <c r="F7" s="20" t="s">
        <v>11</v>
      </c>
      <c r="G7" s="14">
        <v>1</v>
      </c>
      <c r="K7" s="15" t="s">
        <v>13</v>
      </c>
      <c r="L7" s="16">
        <f>6+7</f>
        <v>13</v>
      </c>
      <c r="N7" s="21" t="s">
        <v>11</v>
      </c>
      <c r="O7" s="14">
        <f>2+2</f>
        <v>4</v>
      </c>
      <c r="P7" s="18"/>
      <c r="Q7"/>
      <c r="R7" s="21" t="s">
        <v>14</v>
      </c>
      <c r="S7" s="22">
        <v>6</v>
      </c>
    </row>
    <row r="8" spans="2:19" x14ac:dyDescent="0.3">
      <c r="B8" s="10" t="s">
        <v>15</v>
      </c>
      <c r="C8" s="23">
        <f>4</f>
        <v>4</v>
      </c>
      <c r="D8" s="12"/>
      <c r="E8" s="12"/>
      <c r="F8" s="21" t="s">
        <v>16</v>
      </c>
      <c r="G8" s="14">
        <v>5</v>
      </c>
      <c r="K8" s="15" t="s">
        <v>17</v>
      </c>
      <c r="L8" s="24"/>
      <c r="N8" s="21" t="s">
        <v>16</v>
      </c>
      <c r="O8" s="14">
        <f>4</f>
        <v>4</v>
      </c>
      <c r="P8" s="18"/>
      <c r="Q8"/>
      <c r="R8" s="21" t="s">
        <v>18</v>
      </c>
      <c r="S8" s="22">
        <v>6</v>
      </c>
    </row>
    <row r="9" spans="2:19" x14ac:dyDescent="0.3">
      <c r="B9" s="10" t="s">
        <v>19</v>
      </c>
      <c r="C9" s="23">
        <f>0+1</f>
        <v>1</v>
      </c>
      <c r="D9" s="12"/>
      <c r="E9" s="12"/>
      <c r="F9" s="21" t="s">
        <v>14</v>
      </c>
      <c r="G9" s="14">
        <v>0</v>
      </c>
      <c r="K9" s="15" t="s">
        <v>20</v>
      </c>
      <c r="L9" s="24"/>
      <c r="M9" s="18"/>
      <c r="N9" s="21" t="s">
        <v>14</v>
      </c>
      <c r="O9" s="14">
        <f>1</f>
        <v>1</v>
      </c>
      <c r="P9" s="18"/>
      <c r="Q9"/>
      <c r="R9" s="21" t="s">
        <v>21</v>
      </c>
      <c r="S9" s="22">
        <v>1</v>
      </c>
    </row>
    <row r="10" spans="2:19" x14ac:dyDescent="0.3">
      <c r="B10" s="10" t="s">
        <v>22</v>
      </c>
      <c r="C10" s="23">
        <f>6+7</f>
        <v>13</v>
      </c>
      <c r="D10" s="12"/>
      <c r="E10" s="12"/>
      <c r="F10" s="21" t="s">
        <v>27</v>
      </c>
      <c r="G10" s="14">
        <v>2</v>
      </c>
      <c r="K10" s="15" t="s">
        <v>24</v>
      </c>
      <c r="L10" s="24"/>
      <c r="N10" s="21" t="s">
        <v>27</v>
      </c>
      <c r="O10" s="14">
        <f>2</f>
        <v>2</v>
      </c>
      <c r="P10" s="18"/>
      <c r="R10" s="21" t="s">
        <v>25</v>
      </c>
      <c r="S10" s="22">
        <v>6</v>
      </c>
    </row>
    <row r="11" spans="2:19" ht="15" thickBot="1" x14ac:dyDescent="0.35">
      <c r="B11" s="25" t="s">
        <v>26</v>
      </c>
      <c r="C11" s="26">
        <f>4+4</f>
        <v>8</v>
      </c>
      <c r="D11" s="12"/>
      <c r="E11" s="12"/>
      <c r="F11" s="21" t="s">
        <v>30</v>
      </c>
      <c r="G11" s="14">
        <v>0</v>
      </c>
      <c r="K11" s="15" t="s">
        <v>28</v>
      </c>
      <c r="L11" s="24"/>
      <c r="N11" s="21" t="s">
        <v>30</v>
      </c>
      <c r="O11" s="14">
        <f>1+1</f>
        <v>2</v>
      </c>
      <c r="P11" s="18"/>
      <c r="R11" s="21" t="s">
        <v>29</v>
      </c>
      <c r="S11" s="22">
        <v>7</v>
      </c>
    </row>
    <row r="12" spans="2:19" ht="15" thickBot="1" x14ac:dyDescent="0.35">
      <c r="B12" s="48"/>
      <c r="C12" s="49"/>
      <c r="D12" s="12"/>
      <c r="F12" s="21" t="s">
        <v>59</v>
      </c>
      <c r="G12" s="14">
        <v>1</v>
      </c>
      <c r="K12" s="15" t="s">
        <v>31</v>
      </c>
      <c r="L12" s="24"/>
      <c r="N12" s="21" t="s">
        <v>59</v>
      </c>
      <c r="O12" s="14">
        <f>1</f>
        <v>1</v>
      </c>
      <c r="P12" s="18"/>
      <c r="R12" s="21" t="s">
        <v>32</v>
      </c>
      <c r="S12" s="22">
        <v>3</v>
      </c>
    </row>
    <row r="13" spans="2:19" ht="15" thickBot="1" x14ac:dyDescent="0.35">
      <c r="B13" s="27" t="s">
        <v>3</v>
      </c>
      <c r="C13" s="8" t="s">
        <v>7</v>
      </c>
      <c r="D13" s="12"/>
      <c r="F13" s="21" t="s">
        <v>58</v>
      </c>
      <c r="G13" s="14">
        <v>0</v>
      </c>
      <c r="K13" s="15" t="s">
        <v>34</v>
      </c>
      <c r="L13" s="24"/>
      <c r="N13" s="21" t="s">
        <v>58</v>
      </c>
      <c r="O13" s="14">
        <v>0</v>
      </c>
      <c r="P13" s="18"/>
      <c r="R13" s="21" t="s">
        <v>35</v>
      </c>
      <c r="S13" s="22">
        <v>1</v>
      </c>
    </row>
    <row r="14" spans="2:19" ht="15" thickBot="1" x14ac:dyDescent="0.35">
      <c r="B14" s="13" t="s">
        <v>9</v>
      </c>
      <c r="C14" s="28">
        <v>0</v>
      </c>
      <c r="F14" s="21" t="s">
        <v>33</v>
      </c>
      <c r="G14" s="14">
        <v>3</v>
      </c>
      <c r="K14" s="15" t="s">
        <v>37</v>
      </c>
      <c r="L14" s="24"/>
      <c r="N14" s="21" t="s">
        <v>38</v>
      </c>
      <c r="O14" s="14">
        <f>1+1+4+1</f>
        <v>7</v>
      </c>
      <c r="P14" s="18"/>
      <c r="R14" s="30" t="s">
        <v>39</v>
      </c>
      <c r="S14" s="22">
        <v>1</v>
      </c>
    </row>
    <row r="15" spans="2:19" ht="15" thickBot="1" x14ac:dyDescent="0.35">
      <c r="B15" s="20" t="s">
        <v>11</v>
      </c>
      <c r="C15" s="14">
        <v>2</v>
      </c>
      <c r="F15" s="21" t="s">
        <v>36</v>
      </c>
      <c r="G15" s="29">
        <v>1</v>
      </c>
      <c r="K15" s="15" t="s">
        <v>41</v>
      </c>
      <c r="L15" s="24"/>
      <c r="N15" s="21" t="s">
        <v>42</v>
      </c>
      <c r="O15" s="14">
        <f>2+1+1+1</f>
        <v>5</v>
      </c>
      <c r="P15" s="18"/>
      <c r="R15" s="32" t="s">
        <v>43</v>
      </c>
      <c r="S15" s="9">
        <v>34</v>
      </c>
    </row>
    <row r="16" spans="2:19" ht="15" customHeight="1" thickBot="1" x14ac:dyDescent="0.35">
      <c r="B16" s="20" t="s">
        <v>16</v>
      </c>
      <c r="C16" s="14">
        <v>0</v>
      </c>
      <c r="F16" s="31" t="s">
        <v>40</v>
      </c>
      <c r="G16" s="7">
        <f>SUM(G6:G15)</f>
        <v>15</v>
      </c>
      <c r="K16" s="15" t="s">
        <v>44</v>
      </c>
      <c r="L16" s="24"/>
      <c r="N16" s="33" t="s">
        <v>45</v>
      </c>
      <c r="O16" s="14">
        <f>1</f>
        <v>1</v>
      </c>
    </row>
    <row r="17" spans="2:38" ht="15" customHeight="1" thickBot="1" x14ac:dyDescent="0.35">
      <c r="B17" s="20" t="s">
        <v>14</v>
      </c>
      <c r="C17" s="14">
        <v>0</v>
      </c>
      <c r="K17" s="15" t="s">
        <v>46</v>
      </c>
      <c r="L17" s="24"/>
      <c r="N17" s="21" t="s">
        <v>21</v>
      </c>
      <c r="O17" s="14">
        <v>0</v>
      </c>
    </row>
    <row r="18" spans="2:38" ht="15" thickBot="1" x14ac:dyDescent="0.35">
      <c r="B18" s="20" t="s">
        <v>23</v>
      </c>
      <c r="C18" s="14">
        <v>0</v>
      </c>
      <c r="F18" s="1"/>
      <c r="K18" s="7" t="s">
        <v>63</v>
      </c>
      <c r="L18" s="34">
        <f>SUM(L6:L17)</f>
        <v>37</v>
      </c>
      <c r="N18" s="21" t="s">
        <v>47</v>
      </c>
      <c r="O18" s="14">
        <f>3+1+3</f>
        <v>7</v>
      </c>
    </row>
    <row r="19" spans="2:38" ht="15" thickBot="1" x14ac:dyDescent="0.35">
      <c r="B19" s="21" t="s">
        <v>27</v>
      </c>
      <c r="C19" s="14">
        <v>0</v>
      </c>
      <c r="N19" s="7" t="s">
        <v>48</v>
      </c>
      <c r="O19" s="7">
        <f>SUM(O6:O18)</f>
        <v>37</v>
      </c>
    </row>
    <row r="20" spans="2:38" ht="15" customHeight="1" thickBot="1" x14ac:dyDescent="0.35">
      <c r="B20" s="21" t="s">
        <v>30</v>
      </c>
      <c r="C20" s="14">
        <v>1</v>
      </c>
      <c r="N20" s="35"/>
      <c r="O20" s="35"/>
    </row>
    <row r="21" spans="2:38" ht="15" customHeight="1" x14ac:dyDescent="0.3">
      <c r="B21" s="20" t="s">
        <v>59</v>
      </c>
      <c r="C21" s="14">
        <v>0</v>
      </c>
      <c r="K21" s="50" t="s">
        <v>49</v>
      </c>
      <c r="L21" s="52">
        <f>L18/2</f>
        <v>18.5</v>
      </c>
      <c r="N21" s="35"/>
      <c r="O21" s="35"/>
    </row>
    <row r="22" spans="2:38" s="1" customFormat="1" ht="15" customHeight="1" thickBot="1" x14ac:dyDescent="0.35">
      <c r="B22" s="20" t="s">
        <v>58</v>
      </c>
      <c r="C22" s="14">
        <v>0</v>
      </c>
      <c r="D22"/>
      <c r="F22" s="36"/>
      <c r="G22"/>
      <c r="K22" s="51"/>
      <c r="L22" s="53"/>
      <c r="N22"/>
      <c r="O22"/>
      <c r="R22"/>
      <c r="S22"/>
    </row>
    <row r="23" spans="2:38" s="1" customFormat="1" ht="15" customHeight="1" thickBot="1" x14ac:dyDescent="0.35">
      <c r="B23" s="20" t="s">
        <v>25</v>
      </c>
      <c r="C23" s="14">
        <v>0</v>
      </c>
      <c r="D23"/>
      <c r="F23"/>
      <c r="G23"/>
      <c r="N23" s="40" t="s">
        <v>61</v>
      </c>
      <c r="O23" s="41"/>
      <c r="R23"/>
      <c r="S23"/>
    </row>
    <row r="24" spans="2:38" s="1" customFormat="1" ht="15" customHeight="1" x14ac:dyDescent="0.3">
      <c r="B24" s="20" t="s">
        <v>42</v>
      </c>
      <c r="C24" s="14">
        <v>1</v>
      </c>
      <c r="F24"/>
      <c r="G24"/>
      <c r="N24" s="17" t="s">
        <v>9</v>
      </c>
      <c r="O24" s="14">
        <f>3+2+1+1+2+2</f>
        <v>11</v>
      </c>
      <c r="R24"/>
      <c r="S24"/>
    </row>
    <row r="25" spans="2:38" s="1" customFormat="1" ht="15" customHeight="1" x14ac:dyDescent="0.3">
      <c r="B25" s="20" t="s">
        <v>50</v>
      </c>
      <c r="C25" s="14">
        <v>0</v>
      </c>
      <c r="F25"/>
      <c r="G25"/>
      <c r="N25" s="21" t="s">
        <v>11</v>
      </c>
      <c r="O25" s="14">
        <f>2+4+5+1+0+1</f>
        <v>13</v>
      </c>
      <c r="R25"/>
      <c r="S25"/>
    </row>
    <row r="26" spans="2:38" s="1" customFormat="1" ht="15" customHeight="1" x14ac:dyDescent="0.3">
      <c r="B26" s="20" t="s">
        <v>21</v>
      </c>
      <c r="C26" s="14">
        <v>0</v>
      </c>
      <c r="G26"/>
      <c r="N26" s="21" t="s">
        <v>16</v>
      </c>
      <c r="O26" s="14">
        <f>4+9+0+8+2+5</f>
        <v>28</v>
      </c>
      <c r="P26" s="39"/>
    </row>
    <row r="27" spans="2:38" s="1" customFormat="1" x14ac:dyDescent="0.3">
      <c r="B27" s="21" t="s">
        <v>75</v>
      </c>
      <c r="C27" s="14">
        <v>1</v>
      </c>
      <c r="G27"/>
      <c r="N27" s="21" t="s">
        <v>14</v>
      </c>
      <c r="O27" s="14">
        <f>1+0+0+0+0+0</f>
        <v>1</v>
      </c>
      <c r="Q27"/>
    </row>
    <row r="28" spans="2:38" s="1" customFormat="1" x14ac:dyDescent="0.3">
      <c r="B28" s="21" t="s">
        <v>70</v>
      </c>
      <c r="C28" s="14">
        <v>1</v>
      </c>
      <c r="E28" s="37"/>
      <c r="F28"/>
      <c r="G28"/>
      <c r="N28" s="21" t="s">
        <v>27</v>
      </c>
      <c r="O28" s="14">
        <f>1+3+3+4+4+1+2</f>
        <v>18</v>
      </c>
      <c r="Q28"/>
    </row>
    <row r="29" spans="2:38" s="1" customFormat="1" x14ac:dyDescent="0.3">
      <c r="B29" s="21" t="s">
        <v>74</v>
      </c>
      <c r="C29" s="14">
        <v>1</v>
      </c>
      <c r="F29"/>
      <c r="G29"/>
      <c r="N29" s="21" t="s">
        <v>30</v>
      </c>
      <c r="O29" s="14">
        <f>4+3+2+4+2+0</f>
        <v>15</v>
      </c>
      <c r="Q29"/>
    </row>
    <row r="30" spans="2:38" s="1" customFormat="1" x14ac:dyDescent="0.3">
      <c r="B30" s="21" t="s">
        <v>53</v>
      </c>
      <c r="C30" s="14">
        <v>0</v>
      </c>
      <c r="F30"/>
      <c r="G30"/>
      <c r="N30" s="21" t="s">
        <v>59</v>
      </c>
      <c r="O30" s="14">
        <f>1+0+0+1+1</f>
        <v>3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2:38" s="1" customFormat="1" x14ac:dyDescent="0.3">
      <c r="B31" s="21" t="s">
        <v>54</v>
      </c>
      <c r="C31" s="14">
        <v>0</v>
      </c>
      <c r="N31" s="21" t="s">
        <v>58</v>
      </c>
      <c r="O31" s="14">
        <f>0+0</f>
        <v>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2:38" s="1" customFormat="1" ht="15" thickBot="1" x14ac:dyDescent="0.35">
      <c r="B32" s="30" t="s">
        <v>55</v>
      </c>
      <c r="C32" s="14">
        <v>0</v>
      </c>
      <c r="N32" s="21" t="s">
        <v>33</v>
      </c>
      <c r="O32" s="14">
        <f>0+1+2+0+3</f>
        <v>6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2:40" s="1" customFormat="1" ht="15" thickBot="1" x14ac:dyDescent="0.35">
      <c r="B33" s="38" t="s">
        <v>56</v>
      </c>
      <c r="C33" s="7">
        <f>SUM(C14:C32)</f>
        <v>7</v>
      </c>
      <c r="N33" s="21" t="s">
        <v>47</v>
      </c>
      <c r="O33" s="14">
        <f>0+6+4+4+1</f>
        <v>15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2:40" s="1" customFormat="1" ht="15" thickBot="1" x14ac:dyDescent="0.35">
      <c r="N34" s="7" t="s">
        <v>48</v>
      </c>
      <c r="O34" s="7">
        <f>SUM(O24:O33)</f>
        <v>110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2:40" s="1" customFormat="1" x14ac:dyDescent="0.3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2:40" s="1" customFormat="1" ht="15" thickBot="1" x14ac:dyDescent="0.3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s="1" customFormat="1" ht="15" thickBot="1" x14ac:dyDescent="0.35">
      <c r="K37"/>
      <c r="L37"/>
      <c r="N37" s="40" t="s">
        <v>62</v>
      </c>
      <c r="O37" s="4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2:40" s="1" customFormat="1" x14ac:dyDescent="0.3">
      <c r="K38"/>
      <c r="L38"/>
      <c r="N38" s="17" t="s">
        <v>9</v>
      </c>
      <c r="O38" s="14">
        <f>5+1+6+5+4+6</f>
        <v>27</v>
      </c>
      <c r="R38"/>
      <c r="S38"/>
    </row>
    <row r="39" spans="2:40" x14ac:dyDescent="0.3">
      <c r="B39" s="1"/>
      <c r="C39" s="1"/>
      <c r="D39" s="1"/>
      <c r="F39" s="1"/>
      <c r="G39" s="1"/>
      <c r="N39" s="21" t="s">
        <v>11</v>
      </c>
      <c r="O39" s="14">
        <f>1+6+6+2+0+6</f>
        <v>21</v>
      </c>
    </row>
    <row r="40" spans="2:40" s="1" customFormat="1" x14ac:dyDescent="0.3">
      <c r="K40"/>
      <c r="L40"/>
      <c r="N40" s="21" t="s">
        <v>16</v>
      </c>
      <c r="O40" s="14">
        <f>4+4+5+6+3+3</f>
        <v>25</v>
      </c>
      <c r="P40" s="39"/>
      <c r="R40"/>
      <c r="S40"/>
    </row>
    <row r="41" spans="2:40" x14ac:dyDescent="0.3">
      <c r="B41" s="1"/>
      <c r="C41" s="1"/>
      <c r="F41" s="1"/>
      <c r="G41" s="1"/>
      <c r="N41" s="21" t="s">
        <v>14</v>
      </c>
      <c r="O41" s="14">
        <f>1+3+0+1</f>
        <v>5</v>
      </c>
    </row>
    <row r="42" spans="2:40" s="1" customFormat="1" x14ac:dyDescent="0.3">
      <c r="F42"/>
      <c r="G42"/>
      <c r="K42"/>
      <c r="L42"/>
      <c r="N42" s="21" t="s">
        <v>27</v>
      </c>
      <c r="O42" s="14">
        <f>4+5+3+4+5</f>
        <v>21</v>
      </c>
      <c r="R42"/>
      <c r="S42"/>
    </row>
    <row r="43" spans="2:40" x14ac:dyDescent="0.3">
      <c r="B43" s="1"/>
      <c r="C43" s="1"/>
      <c r="N43" s="21" t="s">
        <v>30</v>
      </c>
      <c r="O43" s="14">
        <f>1+3+5+4+6+1+2</f>
        <v>22</v>
      </c>
      <c r="Q43"/>
    </row>
    <row r="44" spans="2:40" x14ac:dyDescent="0.3">
      <c r="C44" s="1"/>
      <c r="D44" s="1"/>
      <c r="N44" s="21" t="s">
        <v>59</v>
      </c>
      <c r="O44" s="14">
        <f>1+3+0+2+2+3</f>
        <v>11</v>
      </c>
      <c r="Q44"/>
    </row>
    <row r="45" spans="2:40" x14ac:dyDescent="0.3">
      <c r="N45" s="21" t="s">
        <v>58</v>
      </c>
      <c r="O45" s="14">
        <f>1+0+0+0+0</f>
        <v>1</v>
      </c>
      <c r="Q45"/>
    </row>
    <row r="46" spans="2:40" ht="15" customHeight="1" x14ac:dyDescent="0.3">
      <c r="N46" s="21" t="s">
        <v>33</v>
      </c>
      <c r="O46" s="14">
        <f>0+3+2+0+2</f>
        <v>7</v>
      </c>
      <c r="Q46"/>
    </row>
    <row r="47" spans="2:40" ht="15" thickBot="1" x14ac:dyDescent="0.35">
      <c r="K47" s="42"/>
      <c r="L47" s="42"/>
      <c r="N47" s="21" t="s">
        <v>47</v>
      </c>
      <c r="O47" s="14">
        <f>1+11+0+0+0</f>
        <v>12</v>
      </c>
      <c r="Q47"/>
    </row>
    <row r="48" spans="2:40" ht="15" thickBot="1" x14ac:dyDescent="0.35">
      <c r="N48" s="7" t="s">
        <v>48</v>
      </c>
      <c r="O48" s="7">
        <f>SUM(O38:O47)</f>
        <v>152</v>
      </c>
      <c r="P48"/>
      <c r="Q48"/>
    </row>
    <row r="49" spans="16:17" x14ac:dyDescent="0.3">
      <c r="P49"/>
      <c r="Q49"/>
    </row>
    <row r="50" spans="16:17" x14ac:dyDescent="0.3">
      <c r="P50"/>
      <c r="Q50"/>
    </row>
    <row r="51" spans="16:17" x14ac:dyDescent="0.3">
      <c r="P51"/>
      <c r="Q51"/>
    </row>
    <row r="52" spans="16:17" x14ac:dyDescent="0.3">
      <c r="P52"/>
      <c r="Q52"/>
    </row>
    <row r="53" spans="16:17" x14ac:dyDescent="0.3">
      <c r="P53"/>
      <c r="Q53"/>
    </row>
    <row r="54" spans="16:17" x14ac:dyDescent="0.3">
      <c r="P54"/>
      <c r="Q54"/>
    </row>
    <row r="55" spans="16:17" x14ac:dyDescent="0.3">
      <c r="P55"/>
      <c r="Q55"/>
    </row>
    <row r="56" spans="16:17" x14ac:dyDescent="0.3">
      <c r="P56"/>
      <c r="Q56"/>
    </row>
    <row r="57" spans="16:17" x14ac:dyDescent="0.3">
      <c r="P57"/>
      <c r="Q57"/>
    </row>
    <row r="58" spans="16:17" x14ac:dyDescent="0.3">
      <c r="P58"/>
      <c r="Q58"/>
    </row>
    <row r="59" spans="16:17" x14ac:dyDescent="0.3">
      <c r="P59"/>
      <c r="Q59"/>
    </row>
    <row r="60" spans="16:17" x14ac:dyDescent="0.3">
      <c r="P60"/>
      <c r="Q60"/>
    </row>
    <row r="61" spans="16:17" x14ac:dyDescent="0.3">
      <c r="P61"/>
      <c r="Q61"/>
    </row>
    <row r="62" spans="16:17" x14ac:dyDescent="0.3">
      <c r="P62"/>
      <c r="Q62"/>
    </row>
    <row r="63" spans="16:17" x14ac:dyDescent="0.3">
      <c r="P63"/>
      <c r="Q63"/>
    </row>
    <row r="64" spans="16:17" x14ac:dyDescent="0.3">
      <c r="P64"/>
      <c r="Q64"/>
    </row>
    <row r="65" spans="16:17" x14ac:dyDescent="0.3">
      <c r="P65"/>
      <c r="Q65"/>
    </row>
    <row r="66" spans="16:17" x14ac:dyDescent="0.3">
      <c r="P66"/>
      <c r="Q66"/>
    </row>
    <row r="67" spans="16:17" x14ac:dyDescent="0.3">
      <c r="P67"/>
      <c r="Q67"/>
    </row>
    <row r="68" spans="16:17" x14ac:dyDescent="0.3">
      <c r="P68"/>
      <c r="Q68"/>
    </row>
    <row r="69" spans="16:17" x14ac:dyDescent="0.3">
      <c r="P69"/>
      <c r="Q69"/>
    </row>
    <row r="70" spans="16:17" x14ac:dyDescent="0.3">
      <c r="P70"/>
      <c r="Q70"/>
    </row>
    <row r="71" spans="16:17" x14ac:dyDescent="0.3">
      <c r="P71"/>
      <c r="Q71"/>
    </row>
    <row r="72" spans="16:17" x14ac:dyDescent="0.3">
      <c r="P72"/>
      <c r="Q72"/>
    </row>
    <row r="73" spans="16:17" x14ac:dyDescent="0.3">
      <c r="P73"/>
      <c r="Q73"/>
    </row>
    <row r="74" spans="16:17" x14ac:dyDescent="0.3">
      <c r="P74"/>
      <c r="Q74"/>
    </row>
    <row r="75" spans="16:17" x14ac:dyDescent="0.3">
      <c r="P75"/>
      <c r="Q75"/>
    </row>
    <row r="76" spans="16:17" x14ac:dyDescent="0.3">
      <c r="P76"/>
      <c r="Q76"/>
    </row>
    <row r="77" spans="16:17" x14ac:dyDescent="0.3">
      <c r="P77"/>
      <c r="Q77"/>
    </row>
    <row r="78" spans="16:17" x14ac:dyDescent="0.3">
      <c r="P78"/>
      <c r="Q78"/>
    </row>
    <row r="79" spans="16:17" x14ac:dyDescent="0.3">
      <c r="P79"/>
      <c r="Q79"/>
    </row>
    <row r="80" spans="16:17" x14ac:dyDescent="0.3">
      <c r="P80"/>
      <c r="Q80"/>
    </row>
    <row r="81" spans="16:17" x14ac:dyDescent="0.3">
      <c r="P81"/>
      <c r="Q81"/>
    </row>
    <row r="82" spans="16:17" x14ac:dyDescent="0.3">
      <c r="P82"/>
      <c r="Q82"/>
    </row>
    <row r="83" spans="16:17" x14ac:dyDescent="0.3">
      <c r="P83"/>
      <c r="Q83"/>
    </row>
    <row r="84" spans="16:17" x14ac:dyDescent="0.3">
      <c r="P84"/>
      <c r="Q84"/>
    </row>
    <row r="85" spans="16:17" x14ac:dyDescent="0.3">
      <c r="P85"/>
      <c r="Q85"/>
    </row>
    <row r="86" spans="16:17" x14ac:dyDescent="0.3">
      <c r="P86"/>
      <c r="Q86"/>
    </row>
    <row r="87" spans="16:17" x14ac:dyDescent="0.3">
      <c r="P87"/>
      <c r="Q87"/>
    </row>
    <row r="88" spans="16:17" x14ac:dyDescent="0.3">
      <c r="P88"/>
      <c r="Q88"/>
    </row>
    <row r="89" spans="16:17" x14ac:dyDescent="0.3">
      <c r="P89"/>
      <c r="Q89"/>
    </row>
    <row r="90" spans="16:17" x14ac:dyDescent="0.3">
      <c r="P90"/>
      <c r="Q90"/>
    </row>
    <row r="91" spans="16:17" x14ac:dyDescent="0.3">
      <c r="P91"/>
      <c r="Q91"/>
    </row>
    <row r="92" spans="16:17" x14ac:dyDescent="0.3">
      <c r="P92"/>
      <c r="Q92"/>
    </row>
    <row r="93" spans="16:17" x14ac:dyDescent="0.3">
      <c r="P93"/>
      <c r="Q93"/>
    </row>
    <row r="94" spans="16:17" x14ac:dyDescent="0.3">
      <c r="P94"/>
      <c r="Q94"/>
    </row>
    <row r="95" spans="16:17" x14ac:dyDescent="0.3">
      <c r="P95"/>
      <c r="Q95"/>
    </row>
    <row r="96" spans="16:17" x14ac:dyDescent="0.3">
      <c r="P96"/>
      <c r="Q96"/>
    </row>
    <row r="97" spans="16:17" x14ac:dyDescent="0.3">
      <c r="P97"/>
      <c r="Q97"/>
    </row>
    <row r="98" spans="16:17" x14ac:dyDescent="0.3">
      <c r="P98"/>
      <c r="Q98"/>
    </row>
    <row r="99" spans="16:17" x14ac:dyDescent="0.3">
      <c r="P99"/>
      <c r="Q99"/>
    </row>
    <row r="100" spans="16:17" x14ac:dyDescent="0.3">
      <c r="P100"/>
      <c r="Q100"/>
    </row>
    <row r="101" spans="16:17" x14ac:dyDescent="0.3">
      <c r="P101"/>
      <c r="Q101"/>
    </row>
    <row r="102" spans="16:17" x14ac:dyDescent="0.3">
      <c r="P102"/>
      <c r="Q102"/>
    </row>
    <row r="103" spans="16:17" x14ac:dyDescent="0.3">
      <c r="P103"/>
      <c r="Q103"/>
    </row>
    <row r="104" spans="16:17" x14ac:dyDescent="0.3">
      <c r="P104"/>
      <c r="Q104"/>
    </row>
    <row r="105" spans="16:17" x14ac:dyDescent="0.3">
      <c r="P105"/>
      <c r="Q105"/>
    </row>
    <row r="106" spans="16:17" x14ac:dyDescent="0.3">
      <c r="P106"/>
      <c r="Q106"/>
    </row>
    <row r="107" spans="16:17" x14ac:dyDescent="0.3">
      <c r="P107"/>
      <c r="Q107"/>
    </row>
    <row r="108" spans="16:17" x14ac:dyDescent="0.3">
      <c r="P108"/>
      <c r="Q108"/>
    </row>
    <row r="109" spans="16:17" x14ac:dyDescent="0.3">
      <c r="P109"/>
      <c r="Q109"/>
    </row>
    <row r="110" spans="16:17" x14ac:dyDescent="0.3">
      <c r="P110"/>
      <c r="Q110"/>
    </row>
    <row r="111" spans="16:17" x14ac:dyDescent="0.3">
      <c r="P111"/>
      <c r="Q111"/>
    </row>
    <row r="112" spans="16:17" x14ac:dyDescent="0.3">
      <c r="P112"/>
      <c r="Q112"/>
    </row>
    <row r="113" spans="16:17" x14ac:dyDescent="0.3">
      <c r="P113"/>
      <c r="Q113"/>
    </row>
    <row r="114" spans="16:17" x14ac:dyDescent="0.3">
      <c r="P114"/>
      <c r="Q114"/>
    </row>
    <row r="115" spans="16:17" x14ac:dyDescent="0.3">
      <c r="P115"/>
      <c r="Q115"/>
    </row>
    <row r="116" spans="16:17" x14ac:dyDescent="0.3">
      <c r="P116"/>
      <c r="Q116"/>
    </row>
    <row r="117" spans="16:17" x14ac:dyDescent="0.3">
      <c r="P117"/>
      <c r="Q117"/>
    </row>
    <row r="118" spans="16:17" x14ac:dyDescent="0.3">
      <c r="P118"/>
      <c r="Q118"/>
    </row>
    <row r="119" spans="16:17" x14ac:dyDescent="0.3">
      <c r="P119"/>
      <c r="Q119"/>
    </row>
    <row r="120" spans="16:17" x14ac:dyDescent="0.3">
      <c r="P120"/>
      <c r="Q120"/>
    </row>
    <row r="121" spans="16:17" x14ac:dyDescent="0.3">
      <c r="P121"/>
      <c r="Q121"/>
    </row>
    <row r="122" spans="16:17" x14ac:dyDescent="0.3">
      <c r="P122"/>
      <c r="Q122"/>
    </row>
    <row r="123" spans="16:17" x14ac:dyDescent="0.3">
      <c r="P123"/>
      <c r="Q123"/>
    </row>
    <row r="124" spans="16:17" x14ac:dyDescent="0.3">
      <c r="P124"/>
      <c r="Q124"/>
    </row>
    <row r="125" spans="16:17" x14ac:dyDescent="0.3">
      <c r="P125"/>
      <c r="Q125"/>
    </row>
    <row r="126" spans="16:17" x14ac:dyDescent="0.3">
      <c r="P126"/>
      <c r="Q126"/>
    </row>
    <row r="127" spans="16:17" x14ac:dyDescent="0.3">
      <c r="P127"/>
      <c r="Q127"/>
    </row>
    <row r="128" spans="16:17" x14ac:dyDescent="0.3">
      <c r="P128"/>
      <c r="Q128"/>
    </row>
    <row r="129" spans="16:17" x14ac:dyDescent="0.3">
      <c r="P129"/>
      <c r="Q129"/>
    </row>
    <row r="130" spans="16:17" x14ac:dyDescent="0.3">
      <c r="P130"/>
      <c r="Q130"/>
    </row>
    <row r="131" spans="16:17" x14ac:dyDescent="0.3">
      <c r="P131"/>
      <c r="Q131"/>
    </row>
    <row r="132" spans="16:17" x14ac:dyDescent="0.3">
      <c r="P132"/>
      <c r="Q132"/>
    </row>
    <row r="133" spans="16:17" x14ac:dyDescent="0.3">
      <c r="P133"/>
      <c r="Q133"/>
    </row>
    <row r="134" spans="16:17" x14ac:dyDescent="0.3">
      <c r="P134"/>
      <c r="Q134"/>
    </row>
    <row r="135" spans="16:17" x14ac:dyDescent="0.3">
      <c r="P135"/>
      <c r="Q135"/>
    </row>
    <row r="136" spans="16:17" x14ac:dyDescent="0.3">
      <c r="P136"/>
      <c r="Q136"/>
    </row>
    <row r="137" spans="16:17" x14ac:dyDescent="0.3">
      <c r="P137"/>
      <c r="Q137"/>
    </row>
    <row r="138" spans="16:17" x14ac:dyDescent="0.3">
      <c r="P138"/>
      <c r="Q138"/>
    </row>
    <row r="139" spans="16:17" x14ac:dyDescent="0.3">
      <c r="P139"/>
      <c r="Q139"/>
    </row>
    <row r="140" spans="16:17" x14ac:dyDescent="0.3">
      <c r="P140"/>
      <c r="Q140"/>
    </row>
    <row r="141" spans="16:17" x14ac:dyDescent="0.3">
      <c r="P141"/>
      <c r="Q141"/>
    </row>
    <row r="142" spans="16:17" x14ac:dyDescent="0.3">
      <c r="P142"/>
      <c r="Q142"/>
    </row>
    <row r="143" spans="16:17" x14ac:dyDescent="0.3">
      <c r="P143"/>
      <c r="Q143"/>
    </row>
    <row r="144" spans="16:17" x14ac:dyDescent="0.3">
      <c r="P144"/>
      <c r="Q144"/>
    </row>
    <row r="145" spans="16:17" x14ac:dyDescent="0.3">
      <c r="P145"/>
      <c r="Q145"/>
    </row>
    <row r="146" spans="16:17" x14ac:dyDescent="0.3">
      <c r="P146"/>
      <c r="Q146"/>
    </row>
    <row r="147" spans="16:17" x14ac:dyDescent="0.3">
      <c r="P147"/>
      <c r="Q147"/>
    </row>
    <row r="148" spans="16:17" x14ac:dyDescent="0.3">
      <c r="P148"/>
      <c r="Q148"/>
    </row>
    <row r="149" spans="16:17" x14ac:dyDescent="0.3">
      <c r="P149"/>
      <c r="Q149"/>
    </row>
    <row r="150" spans="16:17" x14ac:dyDescent="0.3">
      <c r="P150"/>
      <c r="Q150"/>
    </row>
    <row r="151" spans="16:17" x14ac:dyDescent="0.3">
      <c r="P151"/>
      <c r="Q151"/>
    </row>
    <row r="152" spans="16:17" x14ac:dyDescent="0.3">
      <c r="P152"/>
      <c r="Q152"/>
    </row>
    <row r="153" spans="16:17" x14ac:dyDescent="0.3">
      <c r="P153"/>
      <c r="Q153"/>
    </row>
    <row r="154" spans="16:17" x14ac:dyDescent="0.3">
      <c r="P154"/>
      <c r="Q154"/>
    </row>
    <row r="155" spans="16:17" x14ac:dyDescent="0.3">
      <c r="P155"/>
      <c r="Q155"/>
    </row>
    <row r="156" spans="16:17" x14ac:dyDescent="0.3">
      <c r="P156"/>
      <c r="Q156"/>
    </row>
    <row r="157" spans="16:17" x14ac:dyDescent="0.3">
      <c r="P157"/>
      <c r="Q157"/>
    </row>
    <row r="158" spans="16:17" x14ac:dyDescent="0.3">
      <c r="P158"/>
      <c r="Q158"/>
    </row>
    <row r="159" spans="16:17" x14ac:dyDescent="0.3">
      <c r="P159"/>
      <c r="Q159"/>
    </row>
    <row r="160" spans="16:17" x14ac:dyDescent="0.3">
      <c r="P160"/>
      <c r="Q160"/>
    </row>
    <row r="161" spans="16:17" x14ac:dyDescent="0.3">
      <c r="P161"/>
      <c r="Q161"/>
    </row>
    <row r="162" spans="16:17" x14ac:dyDescent="0.3">
      <c r="P162"/>
      <c r="Q162"/>
    </row>
    <row r="163" spans="16:17" x14ac:dyDescent="0.3">
      <c r="P163"/>
      <c r="Q163"/>
    </row>
    <row r="164" spans="16:17" x14ac:dyDescent="0.3">
      <c r="P164"/>
      <c r="Q164"/>
    </row>
    <row r="165" spans="16:17" x14ac:dyDescent="0.3">
      <c r="P165"/>
      <c r="Q165"/>
    </row>
    <row r="166" spans="16:17" x14ac:dyDescent="0.3">
      <c r="P166"/>
      <c r="Q166"/>
    </row>
    <row r="167" spans="16:17" x14ac:dyDescent="0.3">
      <c r="P167"/>
      <c r="Q167"/>
    </row>
    <row r="168" spans="16:17" x14ac:dyDescent="0.3">
      <c r="P168"/>
      <c r="Q168"/>
    </row>
    <row r="169" spans="16:17" x14ac:dyDescent="0.3">
      <c r="P169"/>
      <c r="Q169"/>
    </row>
    <row r="170" spans="16:17" x14ac:dyDescent="0.3">
      <c r="P170"/>
      <c r="Q170"/>
    </row>
    <row r="171" spans="16:17" x14ac:dyDescent="0.3">
      <c r="P171"/>
      <c r="Q171"/>
    </row>
    <row r="172" spans="16:17" x14ac:dyDescent="0.3">
      <c r="P172"/>
      <c r="Q172"/>
    </row>
    <row r="173" spans="16:17" x14ac:dyDescent="0.3">
      <c r="P173"/>
      <c r="Q173"/>
    </row>
    <row r="174" spans="16:17" x14ac:dyDescent="0.3">
      <c r="P174"/>
      <c r="Q174"/>
    </row>
    <row r="175" spans="16:17" x14ac:dyDescent="0.3">
      <c r="P175"/>
      <c r="Q175"/>
    </row>
    <row r="176" spans="16:17" x14ac:dyDescent="0.3">
      <c r="P176"/>
      <c r="Q176"/>
    </row>
    <row r="177" spans="16:17" x14ac:dyDescent="0.3">
      <c r="P177"/>
      <c r="Q177"/>
    </row>
    <row r="178" spans="16:17" x14ac:dyDescent="0.3">
      <c r="P178"/>
      <c r="Q178"/>
    </row>
    <row r="179" spans="16:17" x14ac:dyDescent="0.3">
      <c r="P179"/>
      <c r="Q179"/>
    </row>
    <row r="180" spans="16:17" x14ac:dyDescent="0.3">
      <c r="P180"/>
      <c r="Q180"/>
    </row>
    <row r="181" spans="16:17" x14ac:dyDescent="0.3">
      <c r="P181"/>
      <c r="Q181"/>
    </row>
    <row r="182" spans="16:17" x14ac:dyDescent="0.3">
      <c r="P182"/>
      <c r="Q182"/>
    </row>
    <row r="183" spans="16:17" x14ac:dyDescent="0.3">
      <c r="P183"/>
      <c r="Q183"/>
    </row>
    <row r="184" spans="16:17" x14ac:dyDescent="0.3">
      <c r="P184"/>
      <c r="Q184"/>
    </row>
    <row r="185" spans="16:17" x14ac:dyDescent="0.3">
      <c r="P185"/>
      <c r="Q185"/>
    </row>
    <row r="186" spans="16:17" x14ac:dyDescent="0.3">
      <c r="P186"/>
      <c r="Q186"/>
    </row>
    <row r="187" spans="16:17" x14ac:dyDescent="0.3">
      <c r="P187"/>
      <c r="Q187"/>
    </row>
    <row r="188" spans="16:17" x14ac:dyDesce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r="191" spans="16:17" x14ac:dyDescent="0.3">
      <c r="P191"/>
      <c r="Q191"/>
    </row>
    <row r="192" spans="16:17" x14ac:dyDescent="0.3">
      <c r="P192"/>
      <c r="Q192"/>
    </row>
    <row r="193" spans="16:17" x14ac:dyDescent="0.3">
      <c r="P193"/>
      <c r="Q193"/>
    </row>
    <row r="194" spans="16:17" x14ac:dyDescent="0.3">
      <c r="P194"/>
      <c r="Q194"/>
    </row>
    <row r="195" spans="16:17" x14ac:dyDescent="0.3">
      <c r="P195"/>
      <c r="Q195"/>
    </row>
    <row r="196" spans="16:17" x14ac:dyDescent="0.3">
      <c r="P196"/>
      <c r="Q196"/>
    </row>
    <row r="197" spans="16:17" x14ac:dyDescent="0.3">
      <c r="P197"/>
      <c r="Q197"/>
    </row>
    <row r="198" spans="16:17" x14ac:dyDescent="0.3">
      <c r="P198"/>
      <c r="Q198"/>
    </row>
    <row r="199" spans="16:17" x14ac:dyDescent="0.3">
      <c r="P199"/>
      <c r="Q199"/>
    </row>
    <row r="200" spans="16:17" x14ac:dyDescent="0.3">
      <c r="P200"/>
      <c r="Q200"/>
    </row>
    <row r="201" spans="16:17" x14ac:dyDescent="0.3">
      <c r="P201"/>
      <c r="Q201"/>
    </row>
    <row r="202" spans="16:17" x14ac:dyDescent="0.3">
      <c r="P202"/>
      <c r="Q202"/>
    </row>
    <row r="203" spans="16:17" x14ac:dyDescent="0.3">
      <c r="P203"/>
      <c r="Q203"/>
    </row>
    <row r="204" spans="16:17" x14ac:dyDescent="0.3">
      <c r="P204"/>
      <c r="Q204"/>
    </row>
    <row r="205" spans="16:17" x14ac:dyDescent="0.3">
      <c r="P205"/>
      <c r="Q205"/>
    </row>
    <row r="206" spans="16:17" x14ac:dyDescent="0.3">
      <c r="P206"/>
      <c r="Q206"/>
    </row>
    <row r="207" spans="16:17" x14ac:dyDescent="0.3">
      <c r="P207"/>
      <c r="Q207"/>
    </row>
    <row r="208" spans="16:17" x14ac:dyDescent="0.3">
      <c r="P208"/>
      <c r="Q208"/>
    </row>
    <row r="209" spans="16:17" x14ac:dyDescent="0.3">
      <c r="P209"/>
      <c r="Q209"/>
    </row>
    <row r="210" spans="16:17" x14ac:dyDescent="0.3">
      <c r="P210"/>
      <c r="Q210"/>
    </row>
    <row r="211" spans="16:17" x14ac:dyDescent="0.3">
      <c r="P211"/>
      <c r="Q211"/>
    </row>
    <row r="212" spans="16:17" x14ac:dyDescent="0.3">
      <c r="P212"/>
      <c r="Q212"/>
    </row>
    <row r="213" spans="16:17" x14ac:dyDescent="0.3">
      <c r="P213"/>
      <c r="Q213"/>
    </row>
    <row r="214" spans="16:17" x14ac:dyDescent="0.3">
      <c r="P214"/>
      <c r="Q214"/>
    </row>
    <row r="215" spans="16:17" x14ac:dyDescent="0.3">
      <c r="P215"/>
      <c r="Q215"/>
    </row>
    <row r="216" spans="16:17" x14ac:dyDescent="0.3">
      <c r="P216"/>
      <c r="Q216"/>
    </row>
    <row r="217" spans="16:17" x14ac:dyDescent="0.3">
      <c r="P217"/>
      <c r="Q217"/>
    </row>
    <row r="218" spans="16:17" x14ac:dyDescent="0.3">
      <c r="P218"/>
      <c r="Q218"/>
    </row>
    <row r="219" spans="16:17" x14ac:dyDescent="0.3">
      <c r="P219"/>
      <c r="Q219"/>
    </row>
    <row r="220" spans="16:17" x14ac:dyDescent="0.3">
      <c r="P220"/>
      <c r="Q220"/>
    </row>
    <row r="221" spans="16:17" x14ac:dyDescent="0.3">
      <c r="P221"/>
      <c r="Q221"/>
    </row>
    <row r="222" spans="16:17" x14ac:dyDescent="0.3">
      <c r="P222"/>
      <c r="Q222"/>
    </row>
    <row r="223" spans="16:17" x14ac:dyDescent="0.3">
      <c r="P223"/>
      <c r="Q223"/>
    </row>
    <row r="224" spans="16:17" x14ac:dyDescent="0.3">
      <c r="P224"/>
      <c r="Q224"/>
    </row>
    <row r="225" spans="16:17" x14ac:dyDescent="0.3">
      <c r="P225"/>
      <c r="Q225"/>
    </row>
    <row r="226" spans="16:17" x14ac:dyDescent="0.3">
      <c r="P226"/>
      <c r="Q226"/>
    </row>
    <row r="227" spans="16:17" x14ac:dyDescent="0.3">
      <c r="P227"/>
      <c r="Q227"/>
    </row>
    <row r="228" spans="16:17" x14ac:dyDescent="0.3">
      <c r="P228"/>
      <c r="Q228"/>
    </row>
    <row r="229" spans="16:17" x14ac:dyDescent="0.3">
      <c r="P229"/>
      <c r="Q229"/>
    </row>
    <row r="230" spans="16:17" x14ac:dyDescent="0.3">
      <c r="P230"/>
      <c r="Q230"/>
    </row>
    <row r="231" spans="16:17" x14ac:dyDescent="0.3">
      <c r="P231"/>
      <c r="Q231"/>
    </row>
    <row r="232" spans="16:17" x14ac:dyDescent="0.3">
      <c r="P232"/>
      <c r="Q232"/>
    </row>
    <row r="233" spans="16:17" x14ac:dyDescent="0.3">
      <c r="P233"/>
      <c r="Q233"/>
    </row>
    <row r="234" spans="16:17" x14ac:dyDescent="0.3">
      <c r="P234"/>
      <c r="Q234"/>
    </row>
    <row r="235" spans="16:17" x14ac:dyDescent="0.3">
      <c r="P235"/>
      <c r="Q235"/>
    </row>
    <row r="236" spans="16:17" x14ac:dyDescent="0.3">
      <c r="P236"/>
      <c r="Q236"/>
    </row>
    <row r="237" spans="16:17" x14ac:dyDescent="0.3">
      <c r="P237"/>
      <c r="Q237"/>
    </row>
    <row r="238" spans="16:17" x14ac:dyDescent="0.3">
      <c r="P238"/>
      <c r="Q238"/>
    </row>
    <row r="239" spans="16:17" x14ac:dyDescent="0.3">
      <c r="P239"/>
      <c r="Q239"/>
    </row>
    <row r="240" spans="16:17" x14ac:dyDescent="0.3">
      <c r="P240"/>
      <c r="Q240"/>
    </row>
    <row r="241" spans="16:17" x14ac:dyDescent="0.3">
      <c r="P241"/>
      <c r="Q241"/>
    </row>
    <row r="242" spans="16:17" x14ac:dyDescent="0.3">
      <c r="P242"/>
      <c r="Q242"/>
    </row>
    <row r="243" spans="16:17" x14ac:dyDescent="0.3">
      <c r="P243"/>
      <c r="Q243"/>
    </row>
    <row r="244" spans="16:17" x14ac:dyDescent="0.3">
      <c r="P244"/>
      <c r="Q244"/>
    </row>
    <row r="245" spans="16:17" x14ac:dyDescent="0.3">
      <c r="P245"/>
      <c r="Q245"/>
    </row>
    <row r="246" spans="16:17" x14ac:dyDescent="0.3">
      <c r="P246"/>
      <c r="Q246"/>
    </row>
    <row r="247" spans="16:17" x14ac:dyDescent="0.3">
      <c r="P247"/>
      <c r="Q247"/>
    </row>
    <row r="248" spans="16:17" x14ac:dyDescent="0.3">
      <c r="P248"/>
      <c r="Q248"/>
    </row>
    <row r="249" spans="16:17" x14ac:dyDescent="0.3">
      <c r="P249"/>
      <c r="Q249"/>
    </row>
    <row r="250" spans="16:17" x14ac:dyDescent="0.3">
      <c r="P250"/>
      <c r="Q250"/>
    </row>
    <row r="251" spans="16:17" x14ac:dyDescent="0.3">
      <c r="P251"/>
      <c r="Q251"/>
    </row>
    <row r="252" spans="16:17" x14ac:dyDescent="0.3">
      <c r="P252"/>
      <c r="Q252"/>
    </row>
    <row r="253" spans="16:17" x14ac:dyDescent="0.3">
      <c r="P253"/>
      <c r="Q253"/>
    </row>
    <row r="254" spans="16:17" x14ac:dyDescent="0.3">
      <c r="P254"/>
      <c r="Q254"/>
    </row>
    <row r="255" spans="16:17" x14ac:dyDescent="0.3">
      <c r="P255"/>
      <c r="Q255"/>
    </row>
    <row r="256" spans="16:17" x14ac:dyDescent="0.3">
      <c r="P256"/>
      <c r="Q256"/>
    </row>
    <row r="257" spans="16:17" x14ac:dyDescent="0.3">
      <c r="P257"/>
      <c r="Q257"/>
    </row>
    <row r="258" spans="16:17" x14ac:dyDescent="0.3">
      <c r="P258"/>
      <c r="Q258"/>
    </row>
    <row r="259" spans="16:17" x14ac:dyDescent="0.3">
      <c r="P259"/>
      <c r="Q259"/>
    </row>
    <row r="260" spans="16:17" x14ac:dyDescent="0.3">
      <c r="P260"/>
      <c r="Q260"/>
    </row>
    <row r="261" spans="16:17" x14ac:dyDescent="0.3">
      <c r="P261"/>
      <c r="Q261"/>
    </row>
    <row r="262" spans="16:17" x14ac:dyDescent="0.3">
      <c r="P262"/>
      <c r="Q262"/>
    </row>
    <row r="263" spans="16:17" x14ac:dyDescent="0.3">
      <c r="P263"/>
      <c r="Q263"/>
    </row>
    <row r="264" spans="16:17" x14ac:dyDescent="0.3">
      <c r="P264"/>
      <c r="Q264"/>
    </row>
    <row r="265" spans="16:17" x14ac:dyDescent="0.3">
      <c r="P265"/>
      <c r="Q265"/>
    </row>
    <row r="266" spans="16:17" x14ac:dyDescent="0.3">
      <c r="P266"/>
      <c r="Q266"/>
    </row>
    <row r="267" spans="16:17" x14ac:dyDescent="0.3">
      <c r="P267"/>
      <c r="Q267"/>
    </row>
    <row r="268" spans="16:17" x14ac:dyDescent="0.3">
      <c r="P268"/>
      <c r="Q268"/>
    </row>
    <row r="269" spans="16:17" x14ac:dyDescent="0.3">
      <c r="P269"/>
      <c r="Q269"/>
    </row>
    <row r="270" spans="16:17" x14ac:dyDescent="0.3">
      <c r="P270"/>
      <c r="Q270"/>
    </row>
    <row r="271" spans="16:17" x14ac:dyDescent="0.3">
      <c r="P271"/>
      <c r="Q271"/>
    </row>
    <row r="272" spans="16:17" x14ac:dyDescent="0.3">
      <c r="P272"/>
      <c r="Q272"/>
    </row>
    <row r="273" spans="16:17" x14ac:dyDescent="0.3">
      <c r="P273"/>
      <c r="Q273"/>
    </row>
    <row r="274" spans="16:17" x14ac:dyDescent="0.3">
      <c r="P274"/>
      <c r="Q274"/>
    </row>
    <row r="275" spans="16:17" x14ac:dyDescent="0.3">
      <c r="P275"/>
      <c r="Q275"/>
    </row>
    <row r="276" spans="16:17" x14ac:dyDescent="0.3">
      <c r="P276"/>
      <c r="Q276"/>
    </row>
    <row r="277" spans="16:17" x14ac:dyDescent="0.3">
      <c r="P277"/>
      <c r="Q277"/>
    </row>
    <row r="278" spans="16:17" x14ac:dyDescent="0.3">
      <c r="P278"/>
      <c r="Q278"/>
    </row>
    <row r="279" spans="16:17" x14ac:dyDescent="0.3">
      <c r="P279"/>
      <c r="Q279"/>
    </row>
    <row r="280" spans="16:17" x14ac:dyDescent="0.3">
      <c r="P280"/>
      <c r="Q280"/>
    </row>
    <row r="281" spans="16:17" x14ac:dyDescent="0.3">
      <c r="P281"/>
      <c r="Q281"/>
    </row>
    <row r="282" spans="16:17" x14ac:dyDescent="0.3">
      <c r="P282"/>
      <c r="Q282"/>
    </row>
    <row r="283" spans="16:17" x14ac:dyDescent="0.3">
      <c r="P283"/>
      <c r="Q283"/>
    </row>
    <row r="284" spans="16:17" x14ac:dyDescent="0.3">
      <c r="P284"/>
      <c r="Q284"/>
    </row>
    <row r="285" spans="16:17" x14ac:dyDescent="0.3">
      <c r="P285"/>
      <c r="Q285"/>
    </row>
    <row r="286" spans="16:17" x14ac:dyDescent="0.3">
      <c r="P286"/>
      <c r="Q286"/>
    </row>
    <row r="287" spans="16:17" x14ac:dyDescent="0.3">
      <c r="P287"/>
      <c r="Q287"/>
    </row>
    <row r="288" spans="16:17" x14ac:dyDescent="0.3">
      <c r="P288"/>
      <c r="Q288"/>
    </row>
    <row r="289" spans="16:17" x14ac:dyDescent="0.3">
      <c r="P289"/>
      <c r="Q289"/>
    </row>
    <row r="290" spans="16:17" x14ac:dyDescent="0.3">
      <c r="P290"/>
      <c r="Q290"/>
    </row>
    <row r="291" spans="16:17" x14ac:dyDescent="0.3">
      <c r="P291"/>
      <c r="Q291"/>
    </row>
    <row r="292" spans="16:17" x14ac:dyDescent="0.3">
      <c r="P292"/>
      <c r="Q292"/>
    </row>
    <row r="293" spans="16:17" x14ac:dyDescent="0.3">
      <c r="P293"/>
      <c r="Q293"/>
    </row>
    <row r="294" spans="16:17" x14ac:dyDescent="0.3">
      <c r="P294"/>
      <c r="Q294"/>
    </row>
    <row r="295" spans="16:17" x14ac:dyDescent="0.3">
      <c r="P295"/>
      <c r="Q295"/>
    </row>
    <row r="296" spans="16:17" x14ac:dyDescent="0.3">
      <c r="P296"/>
      <c r="Q296"/>
    </row>
    <row r="297" spans="16:17" x14ac:dyDescent="0.3">
      <c r="P297"/>
      <c r="Q297"/>
    </row>
    <row r="298" spans="16:17" x14ac:dyDescent="0.3">
      <c r="P298"/>
      <c r="Q298"/>
    </row>
    <row r="299" spans="16:17" x14ac:dyDescent="0.3">
      <c r="P299"/>
      <c r="Q299"/>
    </row>
    <row r="300" spans="16:17" x14ac:dyDescent="0.3">
      <c r="P300"/>
      <c r="Q300"/>
    </row>
    <row r="301" spans="16:17" x14ac:dyDescent="0.3">
      <c r="P301"/>
      <c r="Q301"/>
    </row>
    <row r="302" spans="16:17" x14ac:dyDescent="0.3">
      <c r="P302"/>
      <c r="Q302"/>
    </row>
    <row r="303" spans="16:17" x14ac:dyDescent="0.3">
      <c r="P303"/>
      <c r="Q303"/>
    </row>
    <row r="304" spans="16:17" x14ac:dyDescent="0.3">
      <c r="P304"/>
      <c r="Q304"/>
    </row>
    <row r="305" spans="16:17" x14ac:dyDescent="0.3">
      <c r="P305"/>
      <c r="Q305"/>
    </row>
    <row r="306" spans="16:17" x14ac:dyDescent="0.3">
      <c r="P306"/>
      <c r="Q306"/>
    </row>
    <row r="307" spans="16:17" x14ac:dyDescent="0.3">
      <c r="P307"/>
      <c r="Q307"/>
    </row>
    <row r="308" spans="16:17" x14ac:dyDescent="0.3">
      <c r="P308"/>
      <c r="Q308"/>
    </row>
    <row r="309" spans="16:17" x14ac:dyDescent="0.3">
      <c r="P309"/>
      <c r="Q309"/>
    </row>
    <row r="310" spans="16:17" x14ac:dyDescent="0.3">
      <c r="P310"/>
      <c r="Q310"/>
    </row>
    <row r="311" spans="16:17" x14ac:dyDescent="0.3">
      <c r="P311"/>
      <c r="Q311"/>
    </row>
    <row r="312" spans="16:17" x14ac:dyDescent="0.3">
      <c r="P312"/>
      <c r="Q312"/>
    </row>
    <row r="313" spans="16:17" x14ac:dyDescent="0.3">
      <c r="P313"/>
      <c r="Q313"/>
    </row>
    <row r="314" spans="16:17" x14ac:dyDescent="0.3">
      <c r="P314"/>
      <c r="Q314"/>
    </row>
    <row r="315" spans="16:17" x14ac:dyDescent="0.3">
      <c r="P315"/>
      <c r="Q315"/>
    </row>
    <row r="316" spans="16:17" x14ac:dyDescent="0.3">
      <c r="P316"/>
      <c r="Q316"/>
    </row>
    <row r="317" spans="16:17" x14ac:dyDescent="0.3">
      <c r="P317"/>
      <c r="Q317"/>
    </row>
    <row r="318" spans="16:17" x14ac:dyDescent="0.3">
      <c r="P318"/>
      <c r="Q318"/>
    </row>
    <row r="319" spans="16:17" x14ac:dyDescent="0.3">
      <c r="P319"/>
      <c r="Q319"/>
    </row>
    <row r="320" spans="16:17" x14ac:dyDescent="0.3">
      <c r="P320"/>
      <c r="Q320"/>
    </row>
    <row r="321" spans="16:17" x14ac:dyDescent="0.3">
      <c r="P321"/>
      <c r="Q321"/>
    </row>
    <row r="322" spans="16:17" x14ac:dyDescent="0.3">
      <c r="P322"/>
      <c r="Q322"/>
    </row>
    <row r="323" spans="16:17" x14ac:dyDescent="0.3">
      <c r="P323"/>
      <c r="Q323"/>
    </row>
    <row r="324" spans="16:17" x14ac:dyDescent="0.3">
      <c r="P324"/>
      <c r="Q324"/>
    </row>
    <row r="325" spans="16:17" x14ac:dyDescent="0.3">
      <c r="P325"/>
      <c r="Q325"/>
    </row>
    <row r="326" spans="16:17" x14ac:dyDescent="0.3">
      <c r="P326"/>
      <c r="Q326"/>
    </row>
    <row r="327" spans="16:17" x14ac:dyDescent="0.3">
      <c r="P327"/>
      <c r="Q327"/>
    </row>
    <row r="328" spans="16:17" x14ac:dyDescent="0.3">
      <c r="P328"/>
      <c r="Q328"/>
    </row>
    <row r="329" spans="16:17" x14ac:dyDescent="0.3">
      <c r="P329"/>
      <c r="Q329"/>
    </row>
    <row r="330" spans="16:17" x14ac:dyDescent="0.3">
      <c r="P330"/>
      <c r="Q330"/>
    </row>
    <row r="331" spans="16:17" x14ac:dyDescent="0.3">
      <c r="P331"/>
      <c r="Q331"/>
    </row>
    <row r="332" spans="16:17" x14ac:dyDescent="0.3">
      <c r="P332"/>
      <c r="Q332"/>
    </row>
    <row r="333" spans="16:17" x14ac:dyDescent="0.3">
      <c r="P333"/>
      <c r="Q333"/>
    </row>
    <row r="334" spans="16:17" x14ac:dyDescent="0.3">
      <c r="P334"/>
      <c r="Q334"/>
    </row>
    <row r="335" spans="16:17" x14ac:dyDescent="0.3">
      <c r="P335"/>
      <c r="Q335"/>
    </row>
    <row r="336" spans="16:17" x14ac:dyDescent="0.3">
      <c r="P336"/>
      <c r="Q336"/>
    </row>
    <row r="337" spans="16:17" x14ac:dyDescent="0.3">
      <c r="P337"/>
      <c r="Q337"/>
    </row>
    <row r="338" spans="16:17" x14ac:dyDescent="0.3">
      <c r="P338"/>
      <c r="Q338"/>
    </row>
    <row r="339" spans="16:17" x14ac:dyDescent="0.3">
      <c r="P339"/>
      <c r="Q339"/>
    </row>
    <row r="340" spans="16:17" x14ac:dyDescent="0.3">
      <c r="P340"/>
      <c r="Q340"/>
    </row>
    <row r="341" spans="16:17" x14ac:dyDescent="0.3">
      <c r="P341"/>
      <c r="Q341"/>
    </row>
    <row r="342" spans="16:17" x14ac:dyDescent="0.3">
      <c r="P342"/>
      <c r="Q342"/>
    </row>
    <row r="343" spans="16:17" x14ac:dyDescent="0.3">
      <c r="P343"/>
      <c r="Q343"/>
    </row>
    <row r="344" spans="16:17" x14ac:dyDescent="0.3">
      <c r="P344"/>
      <c r="Q344"/>
    </row>
    <row r="345" spans="16:17" x14ac:dyDescent="0.3">
      <c r="P345"/>
      <c r="Q345"/>
    </row>
    <row r="346" spans="16:17" x14ac:dyDescent="0.3">
      <c r="P346"/>
      <c r="Q346"/>
    </row>
    <row r="347" spans="16:17" x14ac:dyDescent="0.3">
      <c r="P347"/>
      <c r="Q347"/>
    </row>
    <row r="348" spans="16:17" x14ac:dyDescent="0.3">
      <c r="P348"/>
      <c r="Q348"/>
    </row>
    <row r="349" spans="16:17" x14ac:dyDescent="0.3">
      <c r="P349"/>
      <c r="Q349"/>
    </row>
    <row r="350" spans="16:17" x14ac:dyDescent="0.3">
      <c r="P350"/>
      <c r="Q350"/>
    </row>
    <row r="351" spans="16:17" x14ac:dyDescent="0.3">
      <c r="P351"/>
      <c r="Q351"/>
    </row>
    <row r="352" spans="16:17" x14ac:dyDescent="0.3">
      <c r="P352"/>
      <c r="Q352"/>
    </row>
  </sheetData>
  <mergeCells count="9">
    <mergeCell ref="N23:O23"/>
    <mergeCell ref="N37:O37"/>
    <mergeCell ref="K47:L47"/>
    <mergeCell ref="B1:O1"/>
    <mergeCell ref="B3:G3"/>
    <mergeCell ref="K3:O3"/>
    <mergeCell ref="B12:C12"/>
    <mergeCell ref="K21:K22"/>
    <mergeCell ref="L21:L22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4475-B516-45E9-8CAB-F9A125487683}">
  <dimension ref="B1:AN352"/>
  <sheetViews>
    <sheetView zoomScaleNormal="100" workbookViewId="0">
      <selection activeCell="K18" sqref="K18"/>
    </sheetView>
  </sheetViews>
  <sheetFormatPr defaultColWidth="9.33203125" defaultRowHeight="14.4" x14ac:dyDescent="0.3"/>
  <cols>
    <col min="1" max="1" width="1.6640625" customWidth="1"/>
    <col min="2" max="2" width="35.6640625" bestFit="1" customWidth="1"/>
    <col min="3" max="3" width="15.44140625" customWidth="1"/>
    <col min="4" max="5" width="11.33203125" customWidth="1"/>
    <col min="6" max="6" width="32.44140625" bestFit="1" customWidth="1"/>
    <col min="7" max="7" width="10.33203125" customWidth="1"/>
    <col min="8" max="8" width="1.6640625" customWidth="1"/>
    <col min="9" max="10" width="2" customWidth="1"/>
    <col min="11" max="11" width="22.6640625" bestFit="1" customWidth="1"/>
    <col min="12" max="12" width="14.44140625" bestFit="1" customWidth="1"/>
    <col min="13" max="13" width="15.33203125" customWidth="1"/>
    <col min="14" max="14" width="22.6640625" bestFit="1" customWidth="1"/>
    <col min="15" max="15" width="14.44140625" bestFit="1" customWidth="1"/>
    <col min="16" max="16" width="11.44140625" style="1" bestFit="1" customWidth="1"/>
    <col min="17" max="17" width="18.44140625" style="1" bestFit="1" customWidth="1"/>
    <col min="18" max="18" width="18.44140625" hidden="1" customWidth="1"/>
    <col min="19" max="19" width="5.6640625" hidden="1" customWidth="1"/>
    <col min="20" max="39" width="12.33203125" bestFit="1" customWidth="1"/>
    <col min="40" max="40" width="13" bestFit="1" customWidth="1"/>
  </cols>
  <sheetData>
    <row r="1" spans="2:19" ht="28.8" x14ac:dyDescent="0.3"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15" thickBot="1" x14ac:dyDescent="0.35"/>
    <row r="3" spans="2:19" ht="18.600000000000001" thickBot="1" x14ac:dyDescent="0.4">
      <c r="B3" s="45" t="s">
        <v>72</v>
      </c>
      <c r="C3" s="45"/>
      <c r="D3" s="45"/>
      <c r="E3" s="45"/>
      <c r="F3" s="45"/>
      <c r="G3" s="45"/>
      <c r="K3" s="46" t="s">
        <v>65</v>
      </c>
      <c r="L3" s="47"/>
      <c r="M3" s="47"/>
      <c r="N3" s="47"/>
      <c r="O3" s="47"/>
      <c r="Q3"/>
    </row>
    <row r="4" spans="2:19" ht="15" thickBot="1" x14ac:dyDescent="0.35">
      <c r="C4" s="2"/>
      <c r="D4" s="2"/>
      <c r="E4" s="2"/>
      <c r="P4"/>
      <c r="Q4"/>
    </row>
    <row r="5" spans="2:19" ht="16.5" customHeight="1" thickBot="1" x14ac:dyDescent="0.35">
      <c r="B5" s="3" t="s">
        <v>1</v>
      </c>
      <c r="C5" s="4">
        <f>14</f>
        <v>14</v>
      </c>
      <c r="D5" s="5"/>
      <c r="E5" s="5" t="s">
        <v>2</v>
      </c>
      <c r="F5" s="6" t="s">
        <v>3</v>
      </c>
      <c r="G5" s="7" t="s">
        <v>4</v>
      </c>
      <c r="K5" s="6" t="s">
        <v>63</v>
      </c>
      <c r="L5" s="8" t="s">
        <v>5</v>
      </c>
      <c r="N5" s="6" t="s">
        <v>64</v>
      </c>
      <c r="O5" s="6"/>
      <c r="Q5"/>
      <c r="R5" s="9" t="s">
        <v>6</v>
      </c>
      <c r="S5" s="9" t="s">
        <v>7</v>
      </c>
    </row>
    <row r="6" spans="2:19" x14ac:dyDescent="0.3">
      <c r="B6" s="10" t="s">
        <v>8</v>
      </c>
      <c r="C6" s="11">
        <f>0</f>
        <v>0</v>
      </c>
      <c r="D6" s="5"/>
      <c r="E6" s="12"/>
      <c r="F6" s="13" t="s">
        <v>9</v>
      </c>
      <c r="G6" s="14">
        <v>2</v>
      </c>
      <c r="K6" s="15" t="s">
        <v>10</v>
      </c>
      <c r="L6" s="16">
        <f>3+2+4+13+2</f>
        <v>24</v>
      </c>
      <c r="N6" s="17" t="s">
        <v>9</v>
      </c>
      <c r="O6" s="14">
        <f>2+1</f>
        <v>3</v>
      </c>
      <c r="P6" s="18"/>
      <c r="Q6"/>
      <c r="R6" s="17" t="s">
        <v>11</v>
      </c>
      <c r="S6" s="19">
        <v>3</v>
      </c>
    </row>
    <row r="7" spans="2:19" ht="15" customHeight="1" x14ac:dyDescent="0.3">
      <c r="B7" s="10" t="s">
        <v>12</v>
      </c>
      <c r="C7" s="11">
        <f>8</f>
        <v>8</v>
      </c>
      <c r="D7" s="5"/>
      <c r="E7" s="12"/>
      <c r="F7" s="20" t="s">
        <v>11</v>
      </c>
      <c r="G7" s="14">
        <v>0</v>
      </c>
      <c r="K7" s="15" t="s">
        <v>13</v>
      </c>
      <c r="L7" s="16">
        <f>6</f>
        <v>6</v>
      </c>
      <c r="N7" s="21" t="s">
        <v>11</v>
      </c>
      <c r="O7" s="14">
        <f>2</f>
        <v>2</v>
      </c>
      <c r="P7" s="18"/>
      <c r="Q7"/>
      <c r="R7" s="21" t="s">
        <v>14</v>
      </c>
      <c r="S7" s="22">
        <v>6</v>
      </c>
    </row>
    <row r="8" spans="2:19" x14ac:dyDescent="0.3">
      <c r="B8" s="10" t="s">
        <v>15</v>
      </c>
      <c r="C8" s="23">
        <f>4</f>
        <v>4</v>
      </c>
      <c r="D8" s="12"/>
      <c r="E8" s="12"/>
      <c r="F8" s="21" t="s">
        <v>16</v>
      </c>
      <c r="G8" s="14">
        <v>2</v>
      </c>
      <c r="K8" s="15" t="s">
        <v>17</v>
      </c>
      <c r="L8" s="24"/>
      <c r="N8" s="21" t="s">
        <v>16</v>
      </c>
      <c r="O8" s="14">
        <f>4</f>
        <v>4</v>
      </c>
      <c r="P8" s="18"/>
      <c r="Q8"/>
      <c r="R8" s="21" t="s">
        <v>18</v>
      </c>
      <c r="S8" s="22">
        <v>6</v>
      </c>
    </row>
    <row r="9" spans="2:19" x14ac:dyDescent="0.3">
      <c r="B9" s="10" t="s">
        <v>19</v>
      </c>
      <c r="C9" s="23">
        <f>0</f>
        <v>0</v>
      </c>
      <c r="D9" s="12"/>
      <c r="E9" s="12"/>
      <c r="F9" s="21" t="s">
        <v>14</v>
      </c>
      <c r="G9" s="14">
        <v>0</v>
      </c>
      <c r="K9" s="15" t="s">
        <v>20</v>
      </c>
      <c r="L9" s="24"/>
      <c r="M9" s="18"/>
      <c r="N9" s="21" t="s">
        <v>14</v>
      </c>
      <c r="O9" s="14">
        <f>1</f>
        <v>1</v>
      </c>
      <c r="P9" s="18"/>
      <c r="Q9"/>
      <c r="R9" s="21" t="s">
        <v>21</v>
      </c>
      <c r="S9" s="22">
        <v>1</v>
      </c>
    </row>
    <row r="10" spans="2:19" x14ac:dyDescent="0.3">
      <c r="B10" s="10" t="s">
        <v>22</v>
      </c>
      <c r="C10" s="23">
        <f>6</f>
        <v>6</v>
      </c>
      <c r="D10" s="12"/>
      <c r="E10" s="12"/>
      <c r="F10" s="21" t="s">
        <v>27</v>
      </c>
      <c r="G10" s="14">
        <v>1</v>
      </c>
      <c r="K10" s="15" t="s">
        <v>24</v>
      </c>
      <c r="L10" s="24"/>
      <c r="N10" s="21" t="s">
        <v>27</v>
      </c>
      <c r="O10" s="14">
        <f>2</f>
        <v>2</v>
      </c>
      <c r="P10" s="18"/>
      <c r="R10" s="21" t="s">
        <v>25</v>
      </c>
      <c r="S10" s="22">
        <v>6</v>
      </c>
    </row>
    <row r="11" spans="2:19" ht="15" thickBot="1" x14ac:dyDescent="0.35">
      <c r="B11" s="25" t="s">
        <v>26</v>
      </c>
      <c r="C11" s="26">
        <f>4</f>
        <v>4</v>
      </c>
      <c r="D11" s="12"/>
      <c r="E11" s="12"/>
      <c r="F11" s="21" t="s">
        <v>30</v>
      </c>
      <c r="G11" s="14">
        <v>2</v>
      </c>
      <c r="K11" s="15" t="s">
        <v>28</v>
      </c>
      <c r="L11" s="24"/>
      <c r="N11" s="21" t="s">
        <v>30</v>
      </c>
      <c r="O11" s="14">
        <f>1</f>
        <v>1</v>
      </c>
      <c r="P11" s="18"/>
      <c r="R11" s="21" t="s">
        <v>29</v>
      </c>
      <c r="S11" s="22">
        <v>7</v>
      </c>
    </row>
    <row r="12" spans="2:19" ht="15" thickBot="1" x14ac:dyDescent="0.35">
      <c r="B12" s="48"/>
      <c r="C12" s="49"/>
      <c r="D12" s="12"/>
      <c r="F12" s="21" t="s">
        <v>59</v>
      </c>
      <c r="G12" s="14">
        <v>1</v>
      </c>
      <c r="K12" s="15" t="s">
        <v>31</v>
      </c>
      <c r="L12" s="24"/>
      <c r="N12" s="21" t="s">
        <v>59</v>
      </c>
      <c r="O12" s="14">
        <f>1</f>
        <v>1</v>
      </c>
      <c r="P12" s="18"/>
      <c r="R12" s="21" t="s">
        <v>32</v>
      </c>
      <c r="S12" s="22">
        <v>3</v>
      </c>
    </row>
    <row r="13" spans="2:19" ht="15" thickBot="1" x14ac:dyDescent="0.35">
      <c r="B13" s="27" t="s">
        <v>3</v>
      </c>
      <c r="C13" s="8" t="s">
        <v>7</v>
      </c>
      <c r="D13" s="12"/>
      <c r="F13" s="21" t="s">
        <v>58</v>
      </c>
      <c r="G13" s="14">
        <v>0</v>
      </c>
      <c r="K13" s="15" t="s">
        <v>34</v>
      </c>
      <c r="L13" s="24"/>
      <c r="N13" s="21" t="s">
        <v>58</v>
      </c>
      <c r="O13" s="14">
        <v>0</v>
      </c>
      <c r="P13" s="18"/>
      <c r="R13" s="21" t="s">
        <v>35</v>
      </c>
      <c r="S13" s="22">
        <v>1</v>
      </c>
    </row>
    <row r="14" spans="2:19" ht="15" thickBot="1" x14ac:dyDescent="0.35">
      <c r="B14" s="13" t="s">
        <v>9</v>
      </c>
      <c r="C14" s="28">
        <v>0</v>
      </c>
      <c r="F14" s="21" t="s">
        <v>33</v>
      </c>
      <c r="G14" s="14">
        <v>0</v>
      </c>
      <c r="K14" s="15" t="s">
        <v>37</v>
      </c>
      <c r="L14" s="24"/>
      <c r="N14" s="21" t="s">
        <v>38</v>
      </c>
      <c r="O14" s="14">
        <f>1+1+4+1</f>
        <v>7</v>
      </c>
      <c r="P14" s="18"/>
      <c r="R14" s="30" t="s">
        <v>39</v>
      </c>
      <c r="S14" s="22">
        <v>1</v>
      </c>
    </row>
    <row r="15" spans="2:19" ht="15" thickBot="1" x14ac:dyDescent="0.35">
      <c r="B15" s="20" t="s">
        <v>11</v>
      </c>
      <c r="C15" s="14">
        <v>0</v>
      </c>
      <c r="F15" s="21" t="s">
        <v>36</v>
      </c>
      <c r="G15" s="29">
        <v>4</v>
      </c>
      <c r="K15" s="15" t="s">
        <v>41</v>
      </c>
      <c r="L15" s="24"/>
      <c r="N15" s="21" t="s">
        <v>42</v>
      </c>
      <c r="O15" s="14">
        <f>2+1+1</f>
        <v>4</v>
      </c>
      <c r="P15" s="18"/>
      <c r="R15" s="32" t="s">
        <v>43</v>
      </c>
      <c r="S15" s="9">
        <v>34</v>
      </c>
    </row>
    <row r="16" spans="2:19" ht="15" customHeight="1" thickBot="1" x14ac:dyDescent="0.35">
      <c r="B16" s="20" t="s">
        <v>16</v>
      </c>
      <c r="C16" s="14">
        <v>4</v>
      </c>
      <c r="F16" s="31" t="s">
        <v>40</v>
      </c>
      <c r="G16" s="7">
        <f>SUM(G6:G15)</f>
        <v>12</v>
      </c>
      <c r="K16" s="15" t="s">
        <v>44</v>
      </c>
      <c r="L16" s="24"/>
      <c r="N16" s="33" t="s">
        <v>45</v>
      </c>
      <c r="O16" s="14">
        <f>1</f>
        <v>1</v>
      </c>
    </row>
    <row r="17" spans="2:38" ht="15" customHeight="1" thickBot="1" x14ac:dyDescent="0.35">
      <c r="B17" s="20" t="s">
        <v>14</v>
      </c>
      <c r="C17" s="14">
        <v>1</v>
      </c>
      <c r="K17" s="15" t="s">
        <v>46</v>
      </c>
      <c r="L17" s="24"/>
      <c r="N17" s="21" t="s">
        <v>21</v>
      </c>
      <c r="O17" s="14">
        <v>0</v>
      </c>
    </row>
    <row r="18" spans="2:38" ht="15" thickBot="1" x14ac:dyDescent="0.35">
      <c r="B18" s="20" t="s">
        <v>23</v>
      </c>
      <c r="C18" s="14">
        <v>0</v>
      </c>
      <c r="F18" s="1"/>
      <c r="K18" s="7" t="s">
        <v>63</v>
      </c>
      <c r="L18" s="34">
        <f>SUM(L6:L17)</f>
        <v>30</v>
      </c>
      <c r="N18" s="21" t="s">
        <v>47</v>
      </c>
      <c r="O18" s="14">
        <f>3+1</f>
        <v>4</v>
      </c>
    </row>
    <row r="19" spans="2:38" ht="15" thickBot="1" x14ac:dyDescent="0.35">
      <c r="B19" s="21" t="s">
        <v>27</v>
      </c>
      <c r="C19" s="14">
        <v>0</v>
      </c>
      <c r="N19" s="7" t="s">
        <v>48</v>
      </c>
      <c r="O19" s="7">
        <f>SUM(O6:O18)</f>
        <v>30</v>
      </c>
    </row>
    <row r="20" spans="2:38" ht="15" customHeight="1" thickBot="1" x14ac:dyDescent="0.35">
      <c r="B20" s="21" t="s">
        <v>30</v>
      </c>
      <c r="C20" s="14">
        <v>0</v>
      </c>
      <c r="N20" s="35"/>
      <c r="O20" s="35"/>
    </row>
    <row r="21" spans="2:38" ht="15" customHeight="1" x14ac:dyDescent="0.3">
      <c r="B21" s="20" t="s">
        <v>59</v>
      </c>
      <c r="C21" s="14">
        <v>0</v>
      </c>
      <c r="K21" s="50" t="s">
        <v>49</v>
      </c>
      <c r="L21" s="52">
        <f>L18/2</f>
        <v>15</v>
      </c>
      <c r="N21" s="35"/>
      <c r="O21" s="35"/>
    </row>
    <row r="22" spans="2:38" s="1" customFormat="1" ht="15" customHeight="1" thickBot="1" x14ac:dyDescent="0.35">
      <c r="B22" s="20" t="s">
        <v>58</v>
      </c>
      <c r="C22" s="14">
        <v>0</v>
      </c>
      <c r="D22"/>
      <c r="F22" s="36"/>
      <c r="G22"/>
      <c r="K22" s="51"/>
      <c r="L22" s="53"/>
      <c r="N22"/>
      <c r="O22"/>
      <c r="R22"/>
      <c r="S22"/>
    </row>
    <row r="23" spans="2:38" s="1" customFormat="1" ht="15" customHeight="1" thickBot="1" x14ac:dyDescent="0.35">
      <c r="B23" s="20" t="s">
        <v>25</v>
      </c>
      <c r="C23" s="14">
        <v>0</v>
      </c>
      <c r="D23"/>
      <c r="F23"/>
      <c r="G23"/>
      <c r="N23" s="40" t="s">
        <v>61</v>
      </c>
      <c r="O23" s="41"/>
      <c r="R23"/>
      <c r="S23"/>
    </row>
    <row r="24" spans="2:38" s="1" customFormat="1" ht="15" customHeight="1" x14ac:dyDescent="0.3">
      <c r="B24" s="20" t="s">
        <v>42</v>
      </c>
      <c r="C24" s="14">
        <v>0</v>
      </c>
      <c r="F24"/>
      <c r="G24"/>
      <c r="N24" s="17" t="s">
        <v>9</v>
      </c>
      <c r="O24" s="14">
        <f>3+2+1+1+2</f>
        <v>9</v>
      </c>
      <c r="R24"/>
      <c r="S24"/>
    </row>
    <row r="25" spans="2:38" s="1" customFormat="1" ht="15" customHeight="1" x14ac:dyDescent="0.3">
      <c r="B25" s="20" t="s">
        <v>50</v>
      </c>
      <c r="C25" s="14">
        <v>0</v>
      </c>
      <c r="F25"/>
      <c r="G25"/>
      <c r="N25" s="21" t="s">
        <v>11</v>
      </c>
      <c r="O25" s="14">
        <f>2+4+5+1+0</f>
        <v>12</v>
      </c>
      <c r="R25"/>
      <c r="S25"/>
    </row>
    <row r="26" spans="2:38" s="1" customFormat="1" ht="15" customHeight="1" x14ac:dyDescent="0.3">
      <c r="B26" s="20" t="s">
        <v>21</v>
      </c>
      <c r="C26" s="14">
        <v>0</v>
      </c>
      <c r="G26"/>
      <c r="N26" s="21" t="s">
        <v>16</v>
      </c>
      <c r="O26" s="14">
        <f>4+9+0+8+2</f>
        <v>23</v>
      </c>
      <c r="P26" s="39"/>
    </row>
    <row r="27" spans="2:38" s="1" customFormat="1" x14ac:dyDescent="0.3">
      <c r="B27" s="21" t="s">
        <v>57</v>
      </c>
      <c r="C27" s="14">
        <v>0</v>
      </c>
      <c r="G27"/>
      <c r="N27" s="21" t="s">
        <v>14</v>
      </c>
      <c r="O27" s="14">
        <f>1+0+0+0+0</f>
        <v>1</v>
      </c>
      <c r="Q27"/>
    </row>
    <row r="28" spans="2:38" s="1" customFormat="1" x14ac:dyDescent="0.3">
      <c r="B28" s="21" t="s">
        <v>70</v>
      </c>
      <c r="C28" s="14">
        <v>1</v>
      </c>
      <c r="E28" s="37"/>
      <c r="F28"/>
      <c r="G28"/>
      <c r="N28" s="21" t="s">
        <v>27</v>
      </c>
      <c r="O28" s="14">
        <f>1+3+3+4+4+1</f>
        <v>16</v>
      </c>
      <c r="Q28"/>
    </row>
    <row r="29" spans="2:38" s="1" customFormat="1" x14ac:dyDescent="0.3">
      <c r="B29" s="21" t="s">
        <v>69</v>
      </c>
      <c r="C29" s="14">
        <v>0</v>
      </c>
      <c r="F29"/>
      <c r="G29"/>
      <c r="N29" s="21" t="s">
        <v>30</v>
      </c>
      <c r="O29" s="14">
        <f>4+3+2+4+2</f>
        <v>15</v>
      </c>
      <c r="Q29"/>
    </row>
    <row r="30" spans="2:38" s="1" customFormat="1" x14ac:dyDescent="0.3">
      <c r="B30" s="21" t="s">
        <v>53</v>
      </c>
      <c r="C30" s="14">
        <v>0</v>
      </c>
      <c r="F30"/>
      <c r="G30"/>
      <c r="N30" s="21" t="s">
        <v>59</v>
      </c>
      <c r="O30" s="14">
        <f>1+0+0+1</f>
        <v>2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2:38" s="1" customFormat="1" x14ac:dyDescent="0.3">
      <c r="B31" s="21" t="s">
        <v>54</v>
      </c>
      <c r="C31" s="14">
        <v>0</v>
      </c>
      <c r="N31" s="21" t="s">
        <v>58</v>
      </c>
      <c r="O31" s="14">
        <v>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2:38" s="1" customFormat="1" ht="15" thickBot="1" x14ac:dyDescent="0.35">
      <c r="B32" s="30" t="s">
        <v>55</v>
      </c>
      <c r="C32" s="14">
        <v>0</v>
      </c>
      <c r="N32" s="21" t="s">
        <v>33</v>
      </c>
      <c r="O32" s="14">
        <f>0+1+2+0</f>
        <v>3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2:40" s="1" customFormat="1" ht="15" thickBot="1" x14ac:dyDescent="0.35">
      <c r="B33" s="38" t="s">
        <v>56</v>
      </c>
      <c r="C33" s="7">
        <f>SUM(C14:C32)</f>
        <v>6</v>
      </c>
      <c r="N33" s="21" t="s">
        <v>47</v>
      </c>
      <c r="O33" s="14">
        <f>0+6+4+4</f>
        <v>14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2:40" s="1" customFormat="1" ht="15" thickBot="1" x14ac:dyDescent="0.35">
      <c r="N34" s="7" t="s">
        <v>48</v>
      </c>
      <c r="O34" s="7">
        <f>SUM(O24:O33)</f>
        <v>95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2:40" s="1" customFormat="1" x14ac:dyDescent="0.3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2:40" s="1" customFormat="1" ht="15" thickBot="1" x14ac:dyDescent="0.3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s="1" customFormat="1" ht="15" thickBot="1" x14ac:dyDescent="0.35">
      <c r="K37"/>
      <c r="L37"/>
      <c r="N37" s="40" t="s">
        <v>62</v>
      </c>
      <c r="O37" s="4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2:40" s="1" customFormat="1" x14ac:dyDescent="0.3">
      <c r="K38"/>
      <c r="L38"/>
      <c r="N38" s="17" t="s">
        <v>9</v>
      </c>
      <c r="O38" s="14">
        <f>5+1+6+5+4</f>
        <v>21</v>
      </c>
      <c r="R38"/>
      <c r="S38"/>
    </row>
    <row r="39" spans="2:40" x14ac:dyDescent="0.3">
      <c r="B39" s="1"/>
      <c r="C39" s="1"/>
      <c r="D39" s="1"/>
      <c r="F39" s="1"/>
      <c r="G39" s="1"/>
      <c r="N39" s="21" t="s">
        <v>11</v>
      </c>
      <c r="O39" s="14">
        <f>1+6+6+2+0</f>
        <v>15</v>
      </c>
    </row>
    <row r="40" spans="2:40" s="1" customFormat="1" x14ac:dyDescent="0.3">
      <c r="K40"/>
      <c r="L40"/>
      <c r="N40" s="21" t="s">
        <v>16</v>
      </c>
      <c r="O40" s="14">
        <f>4+4+5+6+3</f>
        <v>22</v>
      </c>
      <c r="P40" s="39"/>
      <c r="R40"/>
      <c r="S40"/>
    </row>
    <row r="41" spans="2:40" x14ac:dyDescent="0.3">
      <c r="B41" s="1"/>
      <c r="C41" s="1"/>
      <c r="F41" s="1"/>
      <c r="G41" s="1"/>
      <c r="N41" s="21" t="s">
        <v>14</v>
      </c>
      <c r="O41" s="14">
        <f>1+3+0</f>
        <v>4</v>
      </c>
    </row>
    <row r="42" spans="2:40" s="1" customFormat="1" x14ac:dyDescent="0.3">
      <c r="F42"/>
      <c r="G42"/>
      <c r="K42"/>
      <c r="L42"/>
      <c r="N42" s="21" t="s">
        <v>27</v>
      </c>
      <c r="O42" s="14">
        <f>4+5+3+4</f>
        <v>16</v>
      </c>
      <c r="R42"/>
      <c r="S42"/>
    </row>
    <row r="43" spans="2:40" x14ac:dyDescent="0.3">
      <c r="B43" s="1"/>
      <c r="C43" s="1"/>
      <c r="N43" s="21" t="s">
        <v>30</v>
      </c>
      <c r="O43" s="14">
        <f>1+3+5+4+6+1</f>
        <v>20</v>
      </c>
      <c r="Q43"/>
    </row>
    <row r="44" spans="2:40" x14ac:dyDescent="0.3">
      <c r="C44" s="1"/>
      <c r="D44" s="1"/>
      <c r="N44" s="21" t="s">
        <v>59</v>
      </c>
      <c r="O44" s="14">
        <f>1+3+0+2+2</f>
        <v>8</v>
      </c>
      <c r="Q44"/>
    </row>
    <row r="45" spans="2:40" x14ac:dyDescent="0.3">
      <c r="N45" s="21" t="s">
        <v>58</v>
      </c>
      <c r="O45" s="14">
        <f>1+0+0+0</f>
        <v>1</v>
      </c>
      <c r="Q45"/>
    </row>
    <row r="46" spans="2:40" ht="15" customHeight="1" x14ac:dyDescent="0.3">
      <c r="N46" s="21" t="s">
        <v>33</v>
      </c>
      <c r="O46" s="14">
        <f>0+3+2+0</f>
        <v>5</v>
      </c>
      <c r="Q46"/>
    </row>
    <row r="47" spans="2:40" ht="15" thickBot="1" x14ac:dyDescent="0.35">
      <c r="K47" s="42"/>
      <c r="L47" s="42"/>
      <c r="N47" s="21" t="s">
        <v>47</v>
      </c>
      <c r="O47" s="14">
        <f>1+11+0+0</f>
        <v>12</v>
      </c>
      <c r="Q47"/>
    </row>
    <row r="48" spans="2:40" ht="15" thickBot="1" x14ac:dyDescent="0.35">
      <c r="N48" s="7" t="s">
        <v>48</v>
      </c>
      <c r="O48" s="7">
        <f>SUM(O38:O47)</f>
        <v>124</v>
      </c>
      <c r="P48"/>
      <c r="Q48"/>
    </row>
    <row r="49" spans="16:17" x14ac:dyDescent="0.3">
      <c r="P49"/>
      <c r="Q49"/>
    </row>
    <row r="50" spans="16:17" x14ac:dyDescent="0.3">
      <c r="P50"/>
      <c r="Q50"/>
    </row>
    <row r="51" spans="16:17" x14ac:dyDescent="0.3">
      <c r="P51"/>
      <c r="Q51"/>
    </row>
    <row r="52" spans="16:17" x14ac:dyDescent="0.3">
      <c r="P52"/>
      <c r="Q52"/>
    </row>
    <row r="53" spans="16:17" x14ac:dyDescent="0.3">
      <c r="P53"/>
      <c r="Q53"/>
    </row>
    <row r="54" spans="16:17" x14ac:dyDescent="0.3">
      <c r="P54"/>
      <c r="Q54"/>
    </row>
    <row r="55" spans="16:17" x14ac:dyDescent="0.3">
      <c r="P55"/>
      <c r="Q55"/>
    </row>
    <row r="56" spans="16:17" x14ac:dyDescent="0.3">
      <c r="P56"/>
      <c r="Q56"/>
    </row>
    <row r="57" spans="16:17" x14ac:dyDescent="0.3">
      <c r="P57"/>
      <c r="Q57"/>
    </row>
    <row r="58" spans="16:17" x14ac:dyDescent="0.3">
      <c r="P58"/>
      <c r="Q58"/>
    </row>
    <row r="59" spans="16:17" x14ac:dyDescent="0.3">
      <c r="P59"/>
      <c r="Q59"/>
    </row>
    <row r="60" spans="16:17" x14ac:dyDescent="0.3">
      <c r="P60"/>
      <c r="Q60"/>
    </row>
    <row r="61" spans="16:17" x14ac:dyDescent="0.3">
      <c r="P61"/>
      <c r="Q61"/>
    </row>
    <row r="62" spans="16:17" x14ac:dyDescent="0.3">
      <c r="P62"/>
      <c r="Q62"/>
    </row>
    <row r="63" spans="16:17" x14ac:dyDescent="0.3">
      <c r="P63"/>
      <c r="Q63"/>
    </row>
    <row r="64" spans="16:17" x14ac:dyDescent="0.3">
      <c r="P64"/>
      <c r="Q64"/>
    </row>
    <row r="65" spans="16:17" x14ac:dyDescent="0.3">
      <c r="P65"/>
      <c r="Q65"/>
    </row>
    <row r="66" spans="16:17" x14ac:dyDescent="0.3">
      <c r="P66"/>
      <c r="Q66"/>
    </row>
    <row r="67" spans="16:17" x14ac:dyDescent="0.3">
      <c r="P67"/>
      <c r="Q67"/>
    </row>
    <row r="68" spans="16:17" x14ac:dyDescent="0.3">
      <c r="P68"/>
      <c r="Q68"/>
    </row>
    <row r="69" spans="16:17" x14ac:dyDescent="0.3">
      <c r="P69"/>
      <c r="Q69"/>
    </row>
    <row r="70" spans="16:17" x14ac:dyDescent="0.3">
      <c r="P70"/>
      <c r="Q70"/>
    </row>
    <row r="71" spans="16:17" x14ac:dyDescent="0.3">
      <c r="P71"/>
      <c r="Q71"/>
    </row>
    <row r="72" spans="16:17" x14ac:dyDescent="0.3">
      <c r="P72"/>
      <c r="Q72"/>
    </row>
    <row r="73" spans="16:17" x14ac:dyDescent="0.3">
      <c r="P73"/>
      <c r="Q73"/>
    </row>
    <row r="74" spans="16:17" x14ac:dyDescent="0.3">
      <c r="P74"/>
      <c r="Q74"/>
    </row>
    <row r="75" spans="16:17" x14ac:dyDescent="0.3">
      <c r="P75"/>
      <c r="Q75"/>
    </row>
    <row r="76" spans="16:17" x14ac:dyDescent="0.3">
      <c r="P76"/>
      <c r="Q76"/>
    </row>
    <row r="77" spans="16:17" x14ac:dyDescent="0.3">
      <c r="P77"/>
      <c r="Q77"/>
    </row>
    <row r="78" spans="16:17" x14ac:dyDescent="0.3">
      <c r="P78"/>
      <c r="Q78"/>
    </row>
    <row r="79" spans="16:17" x14ac:dyDescent="0.3">
      <c r="P79"/>
      <c r="Q79"/>
    </row>
    <row r="80" spans="16:17" x14ac:dyDescent="0.3">
      <c r="P80"/>
      <c r="Q80"/>
    </row>
    <row r="81" spans="16:17" x14ac:dyDescent="0.3">
      <c r="P81"/>
      <c r="Q81"/>
    </row>
    <row r="82" spans="16:17" x14ac:dyDescent="0.3">
      <c r="P82"/>
      <c r="Q82"/>
    </row>
    <row r="83" spans="16:17" x14ac:dyDescent="0.3">
      <c r="P83"/>
      <c r="Q83"/>
    </row>
    <row r="84" spans="16:17" x14ac:dyDescent="0.3">
      <c r="P84"/>
      <c r="Q84"/>
    </row>
    <row r="85" spans="16:17" x14ac:dyDescent="0.3">
      <c r="P85"/>
      <c r="Q85"/>
    </row>
    <row r="86" spans="16:17" x14ac:dyDescent="0.3">
      <c r="P86"/>
      <c r="Q86"/>
    </row>
    <row r="87" spans="16:17" x14ac:dyDescent="0.3">
      <c r="P87"/>
      <c r="Q87"/>
    </row>
    <row r="88" spans="16:17" x14ac:dyDescent="0.3">
      <c r="P88"/>
      <c r="Q88"/>
    </row>
    <row r="89" spans="16:17" x14ac:dyDescent="0.3">
      <c r="P89"/>
      <c r="Q89"/>
    </row>
    <row r="90" spans="16:17" x14ac:dyDescent="0.3">
      <c r="P90"/>
      <c r="Q90"/>
    </row>
    <row r="91" spans="16:17" x14ac:dyDescent="0.3">
      <c r="P91"/>
      <c r="Q91"/>
    </row>
    <row r="92" spans="16:17" x14ac:dyDescent="0.3">
      <c r="P92"/>
      <c r="Q92"/>
    </row>
    <row r="93" spans="16:17" x14ac:dyDescent="0.3">
      <c r="P93"/>
      <c r="Q93"/>
    </row>
    <row r="94" spans="16:17" x14ac:dyDescent="0.3">
      <c r="P94"/>
      <c r="Q94"/>
    </row>
    <row r="95" spans="16:17" x14ac:dyDescent="0.3">
      <c r="P95"/>
      <c r="Q95"/>
    </row>
    <row r="96" spans="16:17" x14ac:dyDescent="0.3">
      <c r="P96"/>
      <c r="Q96"/>
    </row>
    <row r="97" spans="16:17" x14ac:dyDescent="0.3">
      <c r="P97"/>
      <c r="Q97"/>
    </row>
    <row r="98" spans="16:17" x14ac:dyDescent="0.3">
      <c r="P98"/>
      <c r="Q98"/>
    </row>
    <row r="99" spans="16:17" x14ac:dyDescent="0.3">
      <c r="P99"/>
      <c r="Q99"/>
    </row>
    <row r="100" spans="16:17" x14ac:dyDescent="0.3">
      <c r="P100"/>
      <c r="Q100"/>
    </row>
    <row r="101" spans="16:17" x14ac:dyDescent="0.3">
      <c r="P101"/>
      <c r="Q101"/>
    </row>
    <row r="102" spans="16:17" x14ac:dyDescent="0.3">
      <c r="P102"/>
      <c r="Q102"/>
    </row>
    <row r="103" spans="16:17" x14ac:dyDescent="0.3">
      <c r="P103"/>
      <c r="Q103"/>
    </row>
    <row r="104" spans="16:17" x14ac:dyDescent="0.3">
      <c r="P104"/>
      <c r="Q104"/>
    </row>
    <row r="105" spans="16:17" x14ac:dyDescent="0.3">
      <c r="P105"/>
      <c r="Q105"/>
    </row>
    <row r="106" spans="16:17" x14ac:dyDescent="0.3">
      <c r="P106"/>
      <c r="Q106"/>
    </row>
    <row r="107" spans="16:17" x14ac:dyDescent="0.3">
      <c r="P107"/>
      <c r="Q107"/>
    </row>
    <row r="108" spans="16:17" x14ac:dyDescent="0.3">
      <c r="P108"/>
      <c r="Q108"/>
    </row>
    <row r="109" spans="16:17" x14ac:dyDescent="0.3">
      <c r="P109"/>
      <c r="Q109"/>
    </row>
    <row r="110" spans="16:17" x14ac:dyDescent="0.3">
      <c r="P110"/>
      <c r="Q110"/>
    </row>
    <row r="111" spans="16:17" x14ac:dyDescent="0.3">
      <c r="P111"/>
      <c r="Q111"/>
    </row>
    <row r="112" spans="16:17" x14ac:dyDescent="0.3">
      <c r="P112"/>
      <c r="Q112"/>
    </row>
    <row r="113" spans="16:17" x14ac:dyDescent="0.3">
      <c r="P113"/>
      <c r="Q113"/>
    </row>
    <row r="114" spans="16:17" x14ac:dyDescent="0.3">
      <c r="P114"/>
      <c r="Q114"/>
    </row>
    <row r="115" spans="16:17" x14ac:dyDescent="0.3">
      <c r="P115"/>
      <c r="Q115"/>
    </row>
    <row r="116" spans="16:17" x14ac:dyDescent="0.3">
      <c r="P116"/>
      <c r="Q116"/>
    </row>
    <row r="117" spans="16:17" x14ac:dyDescent="0.3">
      <c r="P117"/>
      <c r="Q117"/>
    </row>
    <row r="118" spans="16:17" x14ac:dyDescent="0.3">
      <c r="P118"/>
      <c r="Q118"/>
    </row>
    <row r="119" spans="16:17" x14ac:dyDescent="0.3">
      <c r="P119"/>
      <c r="Q119"/>
    </row>
    <row r="120" spans="16:17" x14ac:dyDescent="0.3">
      <c r="P120"/>
      <c r="Q120"/>
    </row>
    <row r="121" spans="16:17" x14ac:dyDescent="0.3">
      <c r="P121"/>
      <c r="Q121"/>
    </row>
    <row r="122" spans="16:17" x14ac:dyDescent="0.3">
      <c r="P122"/>
      <c r="Q122"/>
    </row>
    <row r="123" spans="16:17" x14ac:dyDescent="0.3">
      <c r="P123"/>
      <c r="Q123"/>
    </row>
    <row r="124" spans="16:17" x14ac:dyDescent="0.3">
      <c r="P124"/>
      <c r="Q124"/>
    </row>
    <row r="125" spans="16:17" x14ac:dyDescent="0.3">
      <c r="P125"/>
      <c r="Q125"/>
    </row>
    <row r="126" spans="16:17" x14ac:dyDescent="0.3">
      <c r="P126"/>
      <c r="Q126"/>
    </row>
    <row r="127" spans="16:17" x14ac:dyDescent="0.3">
      <c r="P127"/>
      <c r="Q127"/>
    </row>
    <row r="128" spans="16:17" x14ac:dyDescent="0.3">
      <c r="P128"/>
      <c r="Q128"/>
    </row>
    <row r="129" spans="16:17" x14ac:dyDescent="0.3">
      <c r="P129"/>
      <c r="Q129"/>
    </row>
    <row r="130" spans="16:17" x14ac:dyDescent="0.3">
      <c r="P130"/>
      <c r="Q130"/>
    </row>
    <row r="131" spans="16:17" x14ac:dyDescent="0.3">
      <c r="P131"/>
      <c r="Q131"/>
    </row>
    <row r="132" spans="16:17" x14ac:dyDescent="0.3">
      <c r="P132"/>
      <c r="Q132"/>
    </row>
    <row r="133" spans="16:17" x14ac:dyDescent="0.3">
      <c r="P133"/>
      <c r="Q133"/>
    </row>
    <row r="134" spans="16:17" x14ac:dyDescent="0.3">
      <c r="P134"/>
      <c r="Q134"/>
    </row>
    <row r="135" spans="16:17" x14ac:dyDescent="0.3">
      <c r="P135"/>
      <c r="Q135"/>
    </row>
    <row r="136" spans="16:17" x14ac:dyDescent="0.3">
      <c r="P136"/>
      <c r="Q136"/>
    </row>
    <row r="137" spans="16:17" x14ac:dyDescent="0.3">
      <c r="P137"/>
      <c r="Q137"/>
    </row>
    <row r="138" spans="16:17" x14ac:dyDescent="0.3">
      <c r="P138"/>
      <c r="Q138"/>
    </row>
    <row r="139" spans="16:17" x14ac:dyDescent="0.3">
      <c r="P139"/>
      <c r="Q139"/>
    </row>
    <row r="140" spans="16:17" x14ac:dyDescent="0.3">
      <c r="P140"/>
      <c r="Q140"/>
    </row>
    <row r="141" spans="16:17" x14ac:dyDescent="0.3">
      <c r="P141"/>
      <c r="Q141"/>
    </row>
    <row r="142" spans="16:17" x14ac:dyDescent="0.3">
      <c r="P142"/>
      <c r="Q142"/>
    </row>
    <row r="143" spans="16:17" x14ac:dyDescent="0.3">
      <c r="P143"/>
      <c r="Q143"/>
    </row>
    <row r="144" spans="16:17" x14ac:dyDescent="0.3">
      <c r="P144"/>
      <c r="Q144"/>
    </row>
    <row r="145" spans="16:17" x14ac:dyDescent="0.3">
      <c r="P145"/>
      <c r="Q145"/>
    </row>
    <row r="146" spans="16:17" x14ac:dyDescent="0.3">
      <c r="P146"/>
      <c r="Q146"/>
    </row>
    <row r="147" spans="16:17" x14ac:dyDescent="0.3">
      <c r="P147"/>
      <c r="Q147"/>
    </row>
    <row r="148" spans="16:17" x14ac:dyDescent="0.3">
      <c r="P148"/>
      <c r="Q148"/>
    </row>
    <row r="149" spans="16:17" x14ac:dyDescent="0.3">
      <c r="P149"/>
      <c r="Q149"/>
    </row>
    <row r="150" spans="16:17" x14ac:dyDescent="0.3">
      <c r="P150"/>
      <c r="Q150"/>
    </row>
    <row r="151" spans="16:17" x14ac:dyDescent="0.3">
      <c r="P151"/>
      <c r="Q151"/>
    </row>
    <row r="152" spans="16:17" x14ac:dyDescent="0.3">
      <c r="P152"/>
      <c r="Q152"/>
    </row>
    <row r="153" spans="16:17" x14ac:dyDescent="0.3">
      <c r="P153"/>
      <c r="Q153"/>
    </row>
    <row r="154" spans="16:17" x14ac:dyDescent="0.3">
      <c r="P154"/>
      <c r="Q154"/>
    </row>
    <row r="155" spans="16:17" x14ac:dyDescent="0.3">
      <c r="P155"/>
      <c r="Q155"/>
    </row>
    <row r="156" spans="16:17" x14ac:dyDescent="0.3">
      <c r="P156"/>
      <c r="Q156"/>
    </row>
    <row r="157" spans="16:17" x14ac:dyDescent="0.3">
      <c r="P157"/>
      <c r="Q157"/>
    </row>
    <row r="158" spans="16:17" x14ac:dyDescent="0.3">
      <c r="P158"/>
      <c r="Q158"/>
    </row>
    <row r="159" spans="16:17" x14ac:dyDescent="0.3">
      <c r="P159"/>
      <c r="Q159"/>
    </row>
    <row r="160" spans="16:17" x14ac:dyDescent="0.3">
      <c r="P160"/>
      <c r="Q160"/>
    </row>
    <row r="161" spans="16:17" x14ac:dyDescent="0.3">
      <c r="P161"/>
      <c r="Q161"/>
    </row>
    <row r="162" spans="16:17" x14ac:dyDescent="0.3">
      <c r="P162"/>
      <c r="Q162"/>
    </row>
    <row r="163" spans="16:17" x14ac:dyDescent="0.3">
      <c r="P163"/>
      <c r="Q163"/>
    </row>
    <row r="164" spans="16:17" x14ac:dyDescent="0.3">
      <c r="P164"/>
      <c r="Q164"/>
    </row>
    <row r="165" spans="16:17" x14ac:dyDescent="0.3">
      <c r="P165"/>
      <c r="Q165"/>
    </row>
    <row r="166" spans="16:17" x14ac:dyDescent="0.3">
      <c r="P166"/>
      <c r="Q166"/>
    </row>
    <row r="167" spans="16:17" x14ac:dyDescent="0.3">
      <c r="P167"/>
      <c r="Q167"/>
    </row>
    <row r="168" spans="16:17" x14ac:dyDescent="0.3">
      <c r="P168"/>
      <c r="Q168"/>
    </row>
    <row r="169" spans="16:17" x14ac:dyDescent="0.3">
      <c r="P169"/>
      <c r="Q169"/>
    </row>
    <row r="170" spans="16:17" x14ac:dyDescent="0.3">
      <c r="P170"/>
      <c r="Q170"/>
    </row>
    <row r="171" spans="16:17" x14ac:dyDescent="0.3">
      <c r="P171"/>
      <c r="Q171"/>
    </row>
    <row r="172" spans="16:17" x14ac:dyDescent="0.3">
      <c r="P172"/>
      <c r="Q172"/>
    </row>
    <row r="173" spans="16:17" x14ac:dyDescent="0.3">
      <c r="P173"/>
      <c r="Q173"/>
    </row>
    <row r="174" spans="16:17" x14ac:dyDescent="0.3">
      <c r="P174"/>
      <c r="Q174"/>
    </row>
    <row r="175" spans="16:17" x14ac:dyDescent="0.3">
      <c r="P175"/>
      <c r="Q175"/>
    </row>
    <row r="176" spans="16:17" x14ac:dyDescent="0.3">
      <c r="P176"/>
      <c r="Q176"/>
    </row>
    <row r="177" spans="16:17" x14ac:dyDescent="0.3">
      <c r="P177"/>
      <c r="Q177"/>
    </row>
    <row r="178" spans="16:17" x14ac:dyDescent="0.3">
      <c r="P178"/>
      <c r="Q178"/>
    </row>
    <row r="179" spans="16:17" x14ac:dyDescent="0.3">
      <c r="P179"/>
      <c r="Q179"/>
    </row>
    <row r="180" spans="16:17" x14ac:dyDescent="0.3">
      <c r="P180"/>
      <c r="Q180"/>
    </row>
    <row r="181" spans="16:17" x14ac:dyDescent="0.3">
      <c r="P181"/>
      <c r="Q181"/>
    </row>
    <row r="182" spans="16:17" x14ac:dyDescent="0.3">
      <c r="P182"/>
      <c r="Q182"/>
    </row>
    <row r="183" spans="16:17" x14ac:dyDescent="0.3">
      <c r="P183"/>
      <c r="Q183"/>
    </row>
    <row r="184" spans="16:17" x14ac:dyDescent="0.3">
      <c r="P184"/>
      <c r="Q184"/>
    </row>
    <row r="185" spans="16:17" x14ac:dyDescent="0.3">
      <c r="P185"/>
      <c r="Q185"/>
    </row>
    <row r="186" spans="16:17" x14ac:dyDescent="0.3">
      <c r="P186"/>
      <c r="Q186"/>
    </row>
    <row r="187" spans="16:17" x14ac:dyDescent="0.3">
      <c r="P187"/>
      <c r="Q187"/>
    </row>
    <row r="188" spans="16:17" x14ac:dyDesce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r="191" spans="16:17" x14ac:dyDescent="0.3">
      <c r="P191"/>
      <c r="Q191"/>
    </row>
    <row r="192" spans="16:17" x14ac:dyDescent="0.3">
      <c r="P192"/>
      <c r="Q192"/>
    </row>
    <row r="193" spans="16:17" x14ac:dyDescent="0.3">
      <c r="P193"/>
      <c r="Q193"/>
    </row>
    <row r="194" spans="16:17" x14ac:dyDescent="0.3">
      <c r="P194"/>
      <c r="Q194"/>
    </row>
    <row r="195" spans="16:17" x14ac:dyDescent="0.3">
      <c r="P195"/>
      <c r="Q195"/>
    </row>
    <row r="196" spans="16:17" x14ac:dyDescent="0.3">
      <c r="P196"/>
      <c r="Q196"/>
    </row>
    <row r="197" spans="16:17" x14ac:dyDescent="0.3">
      <c r="P197"/>
      <c r="Q197"/>
    </row>
    <row r="198" spans="16:17" x14ac:dyDescent="0.3">
      <c r="P198"/>
      <c r="Q198"/>
    </row>
    <row r="199" spans="16:17" x14ac:dyDescent="0.3">
      <c r="P199"/>
      <c r="Q199"/>
    </row>
    <row r="200" spans="16:17" x14ac:dyDescent="0.3">
      <c r="P200"/>
      <c r="Q200"/>
    </row>
    <row r="201" spans="16:17" x14ac:dyDescent="0.3">
      <c r="P201"/>
      <c r="Q201"/>
    </row>
    <row r="202" spans="16:17" x14ac:dyDescent="0.3">
      <c r="P202"/>
      <c r="Q202"/>
    </row>
    <row r="203" spans="16:17" x14ac:dyDescent="0.3">
      <c r="P203"/>
      <c r="Q203"/>
    </row>
    <row r="204" spans="16:17" x14ac:dyDescent="0.3">
      <c r="P204"/>
      <c r="Q204"/>
    </row>
    <row r="205" spans="16:17" x14ac:dyDescent="0.3">
      <c r="P205"/>
      <c r="Q205"/>
    </row>
    <row r="206" spans="16:17" x14ac:dyDescent="0.3">
      <c r="P206"/>
      <c r="Q206"/>
    </row>
    <row r="207" spans="16:17" x14ac:dyDescent="0.3">
      <c r="P207"/>
      <c r="Q207"/>
    </row>
    <row r="208" spans="16:17" x14ac:dyDescent="0.3">
      <c r="P208"/>
      <c r="Q208"/>
    </row>
    <row r="209" spans="16:17" x14ac:dyDescent="0.3">
      <c r="P209"/>
      <c r="Q209"/>
    </row>
    <row r="210" spans="16:17" x14ac:dyDescent="0.3">
      <c r="P210"/>
      <c r="Q210"/>
    </row>
    <row r="211" spans="16:17" x14ac:dyDescent="0.3">
      <c r="P211"/>
      <c r="Q211"/>
    </row>
    <row r="212" spans="16:17" x14ac:dyDescent="0.3">
      <c r="P212"/>
      <c r="Q212"/>
    </row>
    <row r="213" spans="16:17" x14ac:dyDescent="0.3">
      <c r="P213"/>
      <c r="Q213"/>
    </row>
    <row r="214" spans="16:17" x14ac:dyDescent="0.3">
      <c r="P214"/>
      <c r="Q214"/>
    </row>
    <row r="215" spans="16:17" x14ac:dyDescent="0.3">
      <c r="P215"/>
      <c r="Q215"/>
    </row>
    <row r="216" spans="16:17" x14ac:dyDescent="0.3">
      <c r="P216"/>
      <c r="Q216"/>
    </row>
    <row r="217" spans="16:17" x14ac:dyDescent="0.3">
      <c r="P217"/>
      <c r="Q217"/>
    </row>
    <row r="218" spans="16:17" x14ac:dyDescent="0.3">
      <c r="P218"/>
      <c r="Q218"/>
    </row>
    <row r="219" spans="16:17" x14ac:dyDescent="0.3">
      <c r="P219"/>
      <c r="Q219"/>
    </row>
    <row r="220" spans="16:17" x14ac:dyDescent="0.3">
      <c r="P220"/>
      <c r="Q220"/>
    </row>
    <row r="221" spans="16:17" x14ac:dyDescent="0.3">
      <c r="P221"/>
      <c r="Q221"/>
    </row>
    <row r="222" spans="16:17" x14ac:dyDescent="0.3">
      <c r="P222"/>
      <c r="Q222"/>
    </row>
    <row r="223" spans="16:17" x14ac:dyDescent="0.3">
      <c r="P223"/>
      <c r="Q223"/>
    </row>
    <row r="224" spans="16:17" x14ac:dyDescent="0.3">
      <c r="P224"/>
      <c r="Q224"/>
    </row>
    <row r="225" spans="16:17" x14ac:dyDescent="0.3">
      <c r="P225"/>
      <c r="Q225"/>
    </row>
    <row r="226" spans="16:17" x14ac:dyDescent="0.3">
      <c r="P226"/>
      <c r="Q226"/>
    </row>
    <row r="227" spans="16:17" x14ac:dyDescent="0.3">
      <c r="P227"/>
      <c r="Q227"/>
    </row>
    <row r="228" spans="16:17" x14ac:dyDescent="0.3">
      <c r="P228"/>
      <c r="Q228"/>
    </row>
    <row r="229" spans="16:17" x14ac:dyDescent="0.3">
      <c r="P229"/>
      <c r="Q229"/>
    </row>
    <row r="230" spans="16:17" x14ac:dyDescent="0.3">
      <c r="P230"/>
      <c r="Q230"/>
    </row>
    <row r="231" spans="16:17" x14ac:dyDescent="0.3">
      <c r="P231"/>
      <c r="Q231"/>
    </row>
    <row r="232" spans="16:17" x14ac:dyDescent="0.3">
      <c r="P232"/>
      <c r="Q232"/>
    </row>
    <row r="233" spans="16:17" x14ac:dyDescent="0.3">
      <c r="P233"/>
      <c r="Q233"/>
    </row>
    <row r="234" spans="16:17" x14ac:dyDescent="0.3">
      <c r="P234"/>
      <c r="Q234"/>
    </row>
    <row r="235" spans="16:17" x14ac:dyDescent="0.3">
      <c r="P235"/>
      <c r="Q235"/>
    </row>
    <row r="236" spans="16:17" x14ac:dyDescent="0.3">
      <c r="P236"/>
      <c r="Q236"/>
    </row>
    <row r="237" spans="16:17" x14ac:dyDescent="0.3">
      <c r="P237"/>
      <c r="Q237"/>
    </row>
    <row r="238" spans="16:17" x14ac:dyDescent="0.3">
      <c r="P238"/>
      <c r="Q238"/>
    </row>
    <row r="239" spans="16:17" x14ac:dyDescent="0.3">
      <c r="P239"/>
      <c r="Q239"/>
    </row>
    <row r="240" spans="16:17" x14ac:dyDescent="0.3">
      <c r="P240"/>
      <c r="Q240"/>
    </row>
    <row r="241" spans="16:17" x14ac:dyDescent="0.3">
      <c r="P241"/>
      <c r="Q241"/>
    </row>
    <row r="242" spans="16:17" x14ac:dyDescent="0.3">
      <c r="P242"/>
      <c r="Q242"/>
    </row>
    <row r="243" spans="16:17" x14ac:dyDescent="0.3">
      <c r="P243"/>
      <c r="Q243"/>
    </row>
    <row r="244" spans="16:17" x14ac:dyDescent="0.3">
      <c r="P244"/>
      <c r="Q244"/>
    </row>
    <row r="245" spans="16:17" x14ac:dyDescent="0.3">
      <c r="P245"/>
      <c r="Q245"/>
    </row>
    <row r="246" spans="16:17" x14ac:dyDescent="0.3">
      <c r="P246"/>
      <c r="Q246"/>
    </row>
    <row r="247" spans="16:17" x14ac:dyDescent="0.3">
      <c r="P247"/>
      <c r="Q247"/>
    </row>
    <row r="248" spans="16:17" x14ac:dyDescent="0.3">
      <c r="P248"/>
      <c r="Q248"/>
    </row>
    <row r="249" spans="16:17" x14ac:dyDescent="0.3">
      <c r="P249"/>
      <c r="Q249"/>
    </row>
    <row r="250" spans="16:17" x14ac:dyDescent="0.3">
      <c r="P250"/>
      <c r="Q250"/>
    </row>
    <row r="251" spans="16:17" x14ac:dyDescent="0.3">
      <c r="P251"/>
      <c r="Q251"/>
    </row>
    <row r="252" spans="16:17" x14ac:dyDescent="0.3">
      <c r="P252"/>
      <c r="Q252"/>
    </row>
    <row r="253" spans="16:17" x14ac:dyDescent="0.3">
      <c r="P253"/>
      <c r="Q253"/>
    </row>
    <row r="254" spans="16:17" x14ac:dyDescent="0.3">
      <c r="P254"/>
      <c r="Q254"/>
    </row>
    <row r="255" spans="16:17" x14ac:dyDescent="0.3">
      <c r="P255"/>
      <c r="Q255"/>
    </row>
    <row r="256" spans="16:17" x14ac:dyDescent="0.3">
      <c r="P256"/>
      <c r="Q256"/>
    </row>
    <row r="257" spans="16:17" x14ac:dyDescent="0.3">
      <c r="P257"/>
      <c r="Q257"/>
    </row>
    <row r="258" spans="16:17" x14ac:dyDescent="0.3">
      <c r="P258"/>
      <c r="Q258"/>
    </row>
    <row r="259" spans="16:17" x14ac:dyDescent="0.3">
      <c r="P259"/>
      <c r="Q259"/>
    </row>
    <row r="260" spans="16:17" x14ac:dyDescent="0.3">
      <c r="P260"/>
      <c r="Q260"/>
    </row>
    <row r="261" spans="16:17" x14ac:dyDescent="0.3">
      <c r="P261"/>
      <c r="Q261"/>
    </row>
    <row r="262" spans="16:17" x14ac:dyDescent="0.3">
      <c r="P262"/>
      <c r="Q262"/>
    </row>
    <row r="263" spans="16:17" x14ac:dyDescent="0.3">
      <c r="P263"/>
      <c r="Q263"/>
    </row>
    <row r="264" spans="16:17" x14ac:dyDescent="0.3">
      <c r="P264"/>
      <c r="Q264"/>
    </row>
    <row r="265" spans="16:17" x14ac:dyDescent="0.3">
      <c r="P265"/>
      <c r="Q265"/>
    </row>
    <row r="266" spans="16:17" x14ac:dyDescent="0.3">
      <c r="P266"/>
      <c r="Q266"/>
    </row>
    <row r="267" spans="16:17" x14ac:dyDescent="0.3">
      <c r="P267"/>
      <c r="Q267"/>
    </row>
    <row r="268" spans="16:17" x14ac:dyDescent="0.3">
      <c r="P268"/>
      <c r="Q268"/>
    </row>
    <row r="269" spans="16:17" x14ac:dyDescent="0.3">
      <c r="P269"/>
      <c r="Q269"/>
    </row>
    <row r="270" spans="16:17" x14ac:dyDescent="0.3">
      <c r="P270"/>
      <c r="Q270"/>
    </row>
    <row r="271" spans="16:17" x14ac:dyDescent="0.3">
      <c r="P271"/>
      <c r="Q271"/>
    </row>
    <row r="272" spans="16:17" x14ac:dyDescent="0.3">
      <c r="P272"/>
      <c r="Q272"/>
    </row>
    <row r="273" spans="16:17" x14ac:dyDescent="0.3">
      <c r="P273"/>
      <c r="Q273"/>
    </row>
    <row r="274" spans="16:17" x14ac:dyDescent="0.3">
      <c r="P274"/>
      <c r="Q274"/>
    </row>
    <row r="275" spans="16:17" x14ac:dyDescent="0.3">
      <c r="P275"/>
      <c r="Q275"/>
    </row>
    <row r="276" spans="16:17" x14ac:dyDescent="0.3">
      <c r="P276"/>
      <c r="Q276"/>
    </row>
    <row r="277" spans="16:17" x14ac:dyDescent="0.3">
      <c r="P277"/>
      <c r="Q277"/>
    </row>
    <row r="278" spans="16:17" x14ac:dyDescent="0.3">
      <c r="P278"/>
      <c r="Q278"/>
    </row>
    <row r="279" spans="16:17" x14ac:dyDescent="0.3">
      <c r="P279"/>
      <c r="Q279"/>
    </row>
    <row r="280" spans="16:17" x14ac:dyDescent="0.3">
      <c r="P280"/>
      <c r="Q280"/>
    </row>
    <row r="281" spans="16:17" x14ac:dyDescent="0.3">
      <c r="P281"/>
      <c r="Q281"/>
    </row>
    <row r="282" spans="16:17" x14ac:dyDescent="0.3">
      <c r="P282"/>
      <c r="Q282"/>
    </row>
    <row r="283" spans="16:17" x14ac:dyDescent="0.3">
      <c r="P283"/>
      <c r="Q283"/>
    </row>
    <row r="284" spans="16:17" x14ac:dyDescent="0.3">
      <c r="P284"/>
      <c r="Q284"/>
    </row>
    <row r="285" spans="16:17" x14ac:dyDescent="0.3">
      <c r="P285"/>
      <c r="Q285"/>
    </row>
    <row r="286" spans="16:17" x14ac:dyDescent="0.3">
      <c r="P286"/>
      <c r="Q286"/>
    </row>
    <row r="287" spans="16:17" x14ac:dyDescent="0.3">
      <c r="P287"/>
      <c r="Q287"/>
    </row>
    <row r="288" spans="16:17" x14ac:dyDescent="0.3">
      <c r="P288"/>
      <c r="Q288"/>
    </row>
    <row r="289" spans="16:17" x14ac:dyDescent="0.3">
      <c r="P289"/>
      <c r="Q289"/>
    </row>
    <row r="290" spans="16:17" x14ac:dyDescent="0.3">
      <c r="P290"/>
      <c r="Q290"/>
    </row>
    <row r="291" spans="16:17" x14ac:dyDescent="0.3">
      <c r="P291"/>
      <c r="Q291"/>
    </row>
    <row r="292" spans="16:17" x14ac:dyDescent="0.3">
      <c r="P292"/>
      <c r="Q292"/>
    </row>
    <row r="293" spans="16:17" x14ac:dyDescent="0.3">
      <c r="P293"/>
      <c r="Q293"/>
    </row>
    <row r="294" spans="16:17" x14ac:dyDescent="0.3">
      <c r="P294"/>
      <c r="Q294"/>
    </row>
    <row r="295" spans="16:17" x14ac:dyDescent="0.3">
      <c r="P295"/>
      <c r="Q295"/>
    </row>
    <row r="296" spans="16:17" x14ac:dyDescent="0.3">
      <c r="P296"/>
      <c r="Q296"/>
    </row>
    <row r="297" spans="16:17" x14ac:dyDescent="0.3">
      <c r="P297"/>
      <c r="Q297"/>
    </row>
    <row r="298" spans="16:17" x14ac:dyDescent="0.3">
      <c r="P298"/>
      <c r="Q298"/>
    </row>
    <row r="299" spans="16:17" x14ac:dyDescent="0.3">
      <c r="P299"/>
      <c r="Q299"/>
    </row>
    <row r="300" spans="16:17" x14ac:dyDescent="0.3">
      <c r="P300"/>
      <c r="Q300"/>
    </row>
    <row r="301" spans="16:17" x14ac:dyDescent="0.3">
      <c r="P301"/>
      <c r="Q301"/>
    </row>
    <row r="302" spans="16:17" x14ac:dyDescent="0.3">
      <c r="P302"/>
      <c r="Q302"/>
    </row>
    <row r="303" spans="16:17" x14ac:dyDescent="0.3">
      <c r="P303"/>
      <c r="Q303"/>
    </row>
    <row r="304" spans="16:17" x14ac:dyDescent="0.3">
      <c r="P304"/>
      <c r="Q304"/>
    </row>
    <row r="305" spans="16:17" x14ac:dyDescent="0.3">
      <c r="P305"/>
      <c r="Q305"/>
    </row>
    <row r="306" spans="16:17" x14ac:dyDescent="0.3">
      <c r="P306"/>
      <c r="Q306"/>
    </row>
    <row r="307" spans="16:17" x14ac:dyDescent="0.3">
      <c r="P307"/>
      <c r="Q307"/>
    </row>
    <row r="308" spans="16:17" x14ac:dyDescent="0.3">
      <c r="P308"/>
      <c r="Q308"/>
    </row>
    <row r="309" spans="16:17" x14ac:dyDescent="0.3">
      <c r="P309"/>
      <c r="Q309"/>
    </row>
    <row r="310" spans="16:17" x14ac:dyDescent="0.3">
      <c r="P310"/>
      <c r="Q310"/>
    </row>
    <row r="311" spans="16:17" x14ac:dyDescent="0.3">
      <c r="P311"/>
      <c r="Q311"/>
    </row>
    <row r="312" spans="16:17" x14ac:dyDescent="0.3">
      <c r="P312"/>
      <c r="Q312"/>
    </row>
    <row r="313" spans="16:17" x14ac:dyDescent="0.3">
      <c r="P313"/>
      <c r="Q313"/>
    </row>
    <row r="314" spans="16:17" x14ac:dyDescent="0.3">
      <c r="P314"/>
      <c r="Q314"/>
    </row>
    <row r="315" spans="16:17" x14ac:dyDescent="0.3">
      <c r="P315"/>
      <c r="Q315"/>
    </row>
    <row r="316" spans="16:17" x14ac:dyDescent="0.3">
      <c r="P316"/>
      <c r="Q316"/>
    </row>
    <row r="317" spans="16:17" x14ac:dyDescent="0.3">
      <c r="P317"/>
      <c r="Q317"/>
    </row>
    <row r="318" spans="16:17" x14ac:dyDescent="0.3">
      <c r="P318"/>
      <c r="Q318"/>
    </row>
    <row r="319" spans="16:17" x14ac:dyDescent="0.3">
      <c r="P319"/>
      <c r="Q319"/>
    </row>
    <row r="320" spans="16:17" x14ac:dyDescent="0.3">
      <c r="P320"/>
      <c r="Q320"/>
    </row>
    <row r="321" spans="16:17" x14ac:dyDescent="0.3">
      <c r="P321"/>
      <c r="Q321"/>
    </row>
    <row r="322" spans="16:17" x14ac:dyDescent="0.3">
      <c r="P322"/>
      <c r="Q322"/>
    </row>
    <row r="323" spans="16:17" x14ac:dyDescent="0.3">
      <c r="P323"/>
      <c r="Q323"/>
    </row>
    <row r="324" spans="16:17" x14ac:dyDescent="0.3">
      <c r="P324"/>
      <c r="Q324"/>
    </row>
    <row r="325" spans="16:17" x14ac:dyDescent="0.3">
      <c r="P325"/>
      <c r="Q325"/>
    </row>
    <row r="326" spans="16:17" x14ac:dyDescent="0.3">
      <c r="P326"/>
      <c r="Q326"/>
    </row>
    <row r="327" spans="16:17" x14ac:dyDescent="0.3">
      <c r="P327"/>
      <c r="Q327"/>
    </row>
    <row r="328" spans="16:17" x14ac:dyDescent="0.3">
      <c r="P328"/>
      <c r="Q328"/>
    </row>
    <row r="329" spans="16:17" x14ac:dyDescent="0.3">
      <c r="P329"/>
      <c r="Q329"/>
    </row>
    <row r="330" spans="16:17" x14ac:dyDescent="0.3">
      <c r="P330"/>
      <c r="Q330"/>
    </row>
    <row r="331" spans="16:17" x14ac:dyDescent="0.3">
      <c r="P331"/>
      <c r="Q331"/>
    </row>
    <row r="332" spans="16:17" x14ac:dyDescent="0.3">
      <c r="P332"/>
      <c r="Q332"/>
    </row>
    <row r="333" spans="16:17" x14ac:dyDescent="0.3">
      <c r="P333"/>
      <c r="Q333"/>
    </row>
    <row r="334" spans="16:17" x14ac:dyDescent="0.3">
      <c r="P334"/>
      <c r="Q334"/>
    </row>
    <row r="335" spans="16:17" x14ac:dyDescent="0.3">
      <c r="P335"/>
      <c r="Q335"/>
    </row>
    <row r="336" spans="16:17" x14ac:dyDescent="0.3">
      <c r="P336"/>
      <c r="Q336"/>
    </row>
    <row r="337" spans="16:17" x14ac:dyDescent="0.3">
      <c r="P337"/>
      <c r="Q337"/>
    </row>
    <row r="338" spans="16:17" x14ac:dyDescent="0.3">
      <c r="P338"/>
      <c r="Q338"/>
    </row>
    <row r="339" spans="16:17" x14ac:dyDescent="0.3">
      <c r="P339"/>
      <c r="Q339"/>
    </row>
    <row r="340" spans="16:17" x14ac:dyDescent="0.3">
      <c r="P340"/>
      <c r="Q340"/>
    </row>
    <row r="341" spans="16:17" x14ac:dyDescent="0.3">
      <c r="P341"/>
      <c r="Q341"/>
    </row>
    <row r="342" spans="16:17" x14ac:dyDescent="0.3">
      <c r="P342"/>
      <c r="Q342"/>
    </row>
    <row r="343" spans="16:17" x14ac:dyDescent="0.3">
      <c r="P343"/>
      <c r="Q343"/>
    </row>
    <row r="344" spans="16:17" x14ac:dyDescent="0.3">
      <c r="P344"/>
      <c r="Q344"/>
    </row>
    <row r="345" spans="16:17" x14ac:dyDescent="0.3">
      <c r="P345"/>
      <c r="Q345"/>
    </row>
    <row r="346" spans="16:17" x14ac:dyDescent="0.3">
      <c r="P346"/>
      <c r="Q346"/>
    </row>
    <row r="347" spans="16:17" x14ac:dyDescent="0.3">
      <c r="P347"/>
      <c r="Q347"/>
    </row>
    <row r="348" spans="16:17" x14ac:dyDescent="0.3">
      <c r="P348"/>
      <c r="Q348"/>
    </row>
    <row r="349" spans="16:17" x14ac:dyDescent="0.3">
      <c r="P349"/>
      <c r="Q349"/>
    </row>
    <row r="350" spans="16:17" x14ac:dyDescent="0.3">
      <c r="P350"/>
      <c r="Q350"/>
    </row>
    <row r="351" spans="16:17" x14ac:dyDescent="0.3">
      <c r="P351"/>
      <c r="Q351"/>
    </row>
    <row r="352" spans="16:17" x14ac:dyDescent="0.3">
      <c r="P352"/>
      <c r="Q352"/>
    </row>
  </sheetData>
  <mergeCells count="9">
    <mergeCell ref="N23:O23"/>
    <mergeCell ref="N37:O37"/>
    <mergeCell ref="K47:L47"/>
    <mergeCell ref="B1:O1"/>
    <mergeCell ref="B3:G3"/>
    <mergeCell ref="K3:O3"/>
    <mergeCell ref="B12:C12"/>
    <mergeCell ref="K21:K22"/>
    <mergeCell ref="L21:L22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A258-BE01-476B-84E7-6190E5CFF11E}">
  <dimension ref="B1:AN352"/>
  <sheetViews>
    <sheetView zoomScaleNormal="100" workbookViewId="0">
      <selection activeCell="K18" sqref="K18"/>
    </sheetView>
  </sheetViews>
  <sheetFormatPr defaultColWidth="9.33203125" defaultRowHeight="14.4" x14ac:dyDescent="0.3"/>
  <cols>
    <col min="1" max="1" width="1.6640625" customWidth="1"/>
    <col min="2" max="2" width="35.6640625" bestFit="1" customWidth="1"/>
    <col min="3" max="3" width="15.44140625" customWidth="1"/>
    <col min="4" max="5" width="11.33203125" customWidth="1"/>
    <col min="6" max="6" width="32.44140625" bestFit="1" customWidth="1"/>
    <col min="7" max="7" width="10.33203125" customWidth="1"/>
    <col min="8" max="8" width="1.6640625" customWidth="1"/>
    <col min="9" max="10" width="2" customWidth="1"/>
    <col min="11" max="11" width="22.6640625" bestFit="1" customWidth="1"/>
    <col min="12" max="12" width="14.44140625" bestFit="1" customWidth="1"/>
    <col min="13" max="13" width="15.33203125" customWidth="1"/>
    <col min="14" max="14" width="22.6640625" bestFit="1" customWidth="1"/>
    <col min="15" max="15" width="14.44140625" bestFit="1" customWidth="1"/>
    <col min="16" max="16" width="11.44140625" style="1" bestFit="1" customWidth="1"/>
    <col min="17" max="17" width="18.44140625" style="1" bestFit="1" customWidth="1"/>
    <col min="18" max="18" width="18.44140625" hidden="1" customWidth="1"/>
    <col min="19" max="19" width="5.6640625" hidden="1" customWidth="1"/>
    <col min="20" max="39" width="12.33203125" bestFit="1" customWidth="1"/>
    <col min="40" max="40" width="13" bestFit="1" customWidth="1"/>
  </cols>
  <sheetData>
    <row r="1" spans="2:19" ht="28.8" x14ac:dyDescent="0.3"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15" thickBot="1" x14ac:dyDescent="0.35"/>
    <row r="3" spans="2:19" ht="18.600000000000001" thickBot="1" x14ac:dyDescent="0.4">
      <c r="B3" s="45" t="s">
        <v>71</v>
      </c>
      <c r="C3" s="45"/>
      <c r="D3" s="45"/>
      <c r="E3" s="45"/>
      <c r="F3" s="45"/>
      <c r="G3" s="45"/>
      <c r="K3" s="46" t="s">
        <v>65</v>
      </c>
      <c r="L3" s="47"/>
      <c r="M3" s="47"/>
      <c r="N3" s="47"/>
      <c r="O3" s="47"/>
      <c r="Q3"/>
    </row>
    <row r="4" spans="2:19" ht="15" thickBot="1" x14ac:dyDescent="0.35">
      <c r="C4" s="2"/>
      <c r="D4" s="2"/>
      <c r="E4" s="2"/>
      <c r="P4"/>
      <c r="Q4"/>
    </row>
    <row r="5" spans="2:19" ht="16.5" customHeight="1" thickBot="1" x14ac:dyDescent="0.35">
      <c r="B5" s="3" t="s">
        <v>1</v>
      </c>
      <c r="C5" s="4">
        <f>2+13+24+29+26</f>
        <v>94</v>
      </c>
      <c r="D5" s="5"/>
      <c r="E5" s="5" t="s">
        <v>2</v>
      </c>
      <c r="F5" s="6" t="s">
        <v>3</v>
      </c>
      <c r="G5" s="7" t="s">
        <v>4</v>
      </c>
      <c r="K5" s="6" t="s">
        <v>63</v>
      </c>
      <c r="L5" s="8" t="s">
        <v>5</v>
      </c>
      <c r="N5" s="6" t="s">
        <v>64</v>
      </c>
      <c r="O5" s="6"/>
      <c r="Q5"/>
      <c r="R5" s="9" t="s">
        <v>6</v>
      </c>
      <c r="S5" s="9" t="s">
        <v>7</v>
      </c>
    </row>
    <row r="6" spans="2:19" x14ac:dyDescent="0.3">
      <c r="B6" s="10" t="s">
        <v>8</v>
      </c>
      <c r="C6" s="11">
        <f>1+12+3</f>
        <v>16</v>
      </c>
      <c r="D6" s="5"/>
      <c r="E6" s="12"/>
      <c r="F6" s="13" t="s">
        <v>9</v>
      </c>
      <c r="G6" s="14">
        <v>1</v>
      </c>
      <c r="K6" s="15" t="s">
        <v>10</v>
      </c>
      <c r="L6" s="16">
        <f>3+2+4+13+2</f>
        <v>24</v>
      </c>
      <c r="N6" s="17" t="s">
        <v>9</v>
      </c>
      <c r="O6" s="14">
        <f>2+1</f>
        <v>3</v>
      </c>
      <c r="P6" s="18"/>
      <c r="Q6"/>
      <c r="R6" s="17" t="s">
        <v>11</v>
      </c>
      <c r="S6" s="19">
        <v>3</v>
      </c>
    </row>
    <row r="7" spans="2:19" ht="15" customHeight="1" x14ac:dyDescent="0.3">
      <c r="B7" s="10" t="s">
        <v>12</v>
      </c>
      <c r="C7" s="11">
        <f>1+16+22+13+20</f>
        <v>72</v>
      </c>
      <c r="D7" s="5"/>
      <c r="E7" s="12"/>
      <c r="F7" s="20" t="s">
        <v>11</v>
      </c>
      <c r="G7" s="14">
        <v>1</v>
      </c>
      <c r="K7" s="15" t="s">
        <v>13</v>
      </c>
      <c r="L7" s="16"/>
      <c r="N7" s="21" t="s">
        <v>11</v>
      </c>
      <c r="O7" s="14">
        <f>2</f>
        <v>2</v>
      </c>
      <c r="P7" s="18"/>
      <c r="Q7"/>
      <c r="R7" s="21" t="s">
        <v>14</v>
      </c>
      <c r="S7" s="22">
        <v>6</v>
      </c>
    </row>
    <row r="8" spans="2:19" x14ac:dyDescent="0.3">
      <c r="B8" s="10" t="s">
        <v>15</v>
      </c>
      <c r="C8" s="23">
        <f>1+0+6+4</f>
        <v>11</v>
      </c>
      <c r="D8" s="12"/>
      <c r="E8" s="12"/>
      <c r="F8" s="21" t="s">
        <v>16</v>
      </c>
      <c r="G8" s="14">
        <v>8</v>
      </c>
      <c r="K8" s="15" t="s">
        <v>17</v>
      </c>
      <c r="L8" s="24"/>
      <c r="N8" s="21" t="s">
        <v>16</v>
      </c>
      <c r="O8" s="14">
        <v>0</v>
      </c>
      <c r="P8" s="18"/>
      <c r="Q8"/>
      <c r="R8" s="21" t="s">
        <v>18</v>
      </c>
      <c r="S8" s="22">
        <v>6</v>
      </c>
    </row>
    <row r="9" spans="2:19" x14ac:dyDescent="0.3">
      <c r="B9" s="10" t="s">
        <v>19</v>
      </c>
      <c r="C9" s="23">
        <f>3+2+5+1</f>
        <v>11</v>
      </c>
      <c r="D9" s="12"/>
      <c r="E9" s="12"/>
      <c r="F9" s="21" t="s">
        <v>14</v>
      </c>
      <c r="G9" s="14">
        <v>0</v>
      </c>
      <c r="K9" s="15" t="s">
        <v>20</v>
      </c>
      <c r="L9" s="24"/>
      <c r="M9" s="18"/>
      <c r="N9" s="21" t="s">
        <v>14</v>
      </c>
      <c r="O9" s="14">
        <v>0</v>
      </c>
      <c r="P9" s="18"/>
      <c r="Q9"/>
      <c r="R9" s="21" t="s">
        <v>21</v>
      </c>
      <c r="S9" s="22">
        <v>1</v>
      </c>
    </row>
    <row r="10" spans="2:19" x14ac:dyDescent="0.3">
      <c r="B10" s="10" t="s">
        <v>22</v>
      </c>
      <c r="C10" s="23">
        <f>3+2+4+13+2</f>
        <v>24</v>
      </c>
      <c r="D10" s="12"/>
      <c r="E10" s="12"/>
      <c r="F10" s="21" t="s">
        <v>27</v>
      </c>
      <c r="G10" s="14">
        <v>4</v>
      </c>
      <c r="K10" s="15" t="s">
        <v>24</v>
      </c>
      <c r="L10" s="24"/>
      <c r="N10" s="21" t="s">
        <v>27</v>
      </c>
      <c r="O10" s="14">
        <f>2</f>
        <v>2</v>
      </c>
      <c r="P10" s="18"/>
      <c r="R10" s="21" t="s">
        <v>25</v>
      </c>
      <c r="S10" s="22">
        <v>6</v>
      </c>
    </row>
    <row r="11" spans="2:19" ht="15" thickBot="1" x14ac:dyDescent="0.35">
      <c r="B11" s="25" t="s">
        <v>26</v>
      </c>
      <c r="C11" s="26">
        <f>3+2+3+8+2</f>
        <v>18</v>
      </c>
      <c r="D11" s="12"/>
      <c r="E11" s="12"/>
      <c r="F11" s="21" t="s">
        <v>30</v>
      </c>
      <c r="G11" s="14">
        <v>4</v>
      </c>
      <c r="K11" s="15" t="s">
        <v>28</v>
      </c>
      <c r="L11" s="24"/>
      <c r="N11" s="21" t="s">
        <v>30</v>
      </c>
      <c r="O11" s="14">
        <f>1</f>
        <v>1</v>
      </c>
      <c r="P11" s="18"/>
      <c r="R11" s="21" t="s">
        <v>29</v>
      </c>
      <c r="S11" s="22">
        <v>7</v>
      </c>
    </row>
    <row r="12" spans="2:19" ht="15" thickBot="1" x14ac:dyDescent="0.35">
      <c r="B12" s="48"/>
      <c r="C12" s="49"/>
      <c r="D12" s="12"/>
      <c r="F12" s="21" t="s">
        <v>59</v>
      </c>
      <c r="G12" s="14">
        <v>0</v>
      </c>
      <c r="K12" s="15" t="s">
        <v>31</v>
      </c>
      <c r="L12" s="24"/>
      <c r="N12" s="21" t="s">
        <v>59</v>
      </c>
      <c r="O12" s="14">
        <f>1</f>
        <v>1</v>
      </c>
      <c r="P12" s="18"/>
      <c r="R12" s="21" t="s">
        <v>32</v>
      </c>
      <c r="S12" s="22">
        <v>3</v>
      </c>
    </row>
    <row r="13" spans="2:19" ht="15" thickBot="1" x14ac:dyDescent="0.35">
      <c r="B13" s="27" t="s">
        <v>3</v>
      </c>
      <c r="C13" s="8" t="s">
        <v>7</v>
      </c>
      <c r="D13" s="12"/>
      <c r="F13" s="21" t="s">
        <v>58</v>
      </c>
      <c r="G13" s="14">
        <v>0</v>
      </c>
      <c r="K13" s="15" t="s">
        <v>34</v>
      </c>
      <c r="L13" s="24"/>
      <c r="N13" s="21" t="s">
        <v>58</v>
      </c>
      <c r="O13" s="14">
        <v>0</v>
      </c>
      <c r="P13" s="18"/>
      <c r="R13" s="21" t="s">
        <v>35</v>
      </c>
      <c r="S13" s="22">
        <v>1</v>
      </c>
    </row>
    <row r="14" spans="2:19" ht="15" thickBot="1" x14ac:dyDescent="0.35">
      <c r="B14" s="13" t="s">
        <v>9</v>
      </c>
      <c r="C14" s="28">
        <v>1</v>
      </c>
      <c r="F14" s="21" t="s">
        <v>33</v>
      </c>
      <c r="G14" s="14">
        <v>2</v>
      </c>
      <c r="K14" s="15" t="s">
        <v>37</v>
      </c>
      <c r="L14" s="24"/>
      <c r="N14" s="21" t="s">
        <v>38</v>
      </c>
      <c r="O14" s="14">
        <f>1+1+4+1</f>
        <v>7</v>
      </c>
      <c r="P14" s="18"/>
      <c r="R14" s="30" t="s">
        <v>39</v>
      </c>
      <c r="S14" s="22">
        <v>1</v>
      </c>
    </row>
    <row r="15" spans="2:19" ht="15" thickBot="1" x14ac:dyDescent="0.35">
      <c r="B15" s="20" t="s">
        <v>11</v>
      </c>
      <c r="C15" s="14">
        <v>0</v>
      </c>
      <c r="F15" s="21" t="s">
        <v>36</v>
      </c>
      <c r="G15" s="29">
        <v>4</v>
      </c>
      <c r="K15" s="15" t="s">
        <v>41</v>
      </c>
      <c r="L15" s="24"/>
      <c r="N15" s="21" t="s">
        <v>42</v>
      </c>
      <c r="O15" s="14">
        <f>2+1+1</f>
        <v>4</v>
      </c>
      <c r="P15" s="18"/>
      <c r="R15" s="32" t="s">
        <v>43</v>
      </c>
      <c r="S15" s="9">
        <v>34</v>
      </c>
    </row>
    <row r="16" spans="2:19" ht="15" customHeight="1" thickBot="1" x14ac:dyDescent="0.35">
      <c r="B16" s="20" t="s">
        <v>16</v>
      </c>
      <c r="C16" s="14">
        <v>0</v>
      </c>
      <c r="F16" s="31" t="s">
        <v>40</v>
      </c>
      <c r="G16" s="7">
        <f>SUM(G6:G15)</f>
        <v>24</v>
      </c>
      <c r="K16" s="15" t="s">
        <v>44</v>
      </c>
      <c r="L16" s="24"/>
      <c r="N16" s="33" t="s">
        <v>45</v>
      </c>
      <c r="O16" s="14">
        <f>1</f>
        <v>1</v>
      </c>
    </row>
    <row r="17" spans="2:38" ht="15" customHeight="1" thickBot="1" x14ac:dyDescent="0.35">
      <c r="B17" s="20" t="s">
        <v>14</v>
      </c>
      <c r="C17" s="14">
        <v>0</v>
      </c>
      <c r="K17" s="15" t="s">
        <v>46</v>
      </c>
      <c r="L17" s="24"/>
      <c r="N17" s="21" t="s">
        <v>21</v>
      </c>
      <c r="O17" s="14">
        <v>0</v>
      </c>
    </row>
    <row r="18" spans="2:38" ht="15" thickBot="1" x14ac:dyDescent="0.35">
      <c r="B18" s="20" t="s">
        <v>23</v>
      </c>
      <c r="C18" s="14">
        <v>0</v>
      </c>
      <c r="F18" s="1"/>
      <c r="K18" s="7" t="s">
        <v>63</v>
      </c>
      <c r="L18" s="34">
        <f>SUM(L6:L17)</f>
        <v>24</v>
      </c>
      <c r="N18" s="21" t="s">
        <v>47</v>
      </c>
      <c r="O18" s="14">
        <f>3</f>
        <v>3</v>
      </c>
    </row>
    <row r="19" spans="2:38" ht="15" thickBot="1" x14ac:dyDescent="0.35">
      <c r="B19" s="21" t="s">
        <v>27</v>
      </c>
      <c r="C19" s="14">
        <v>0</v>
      </c>
      <c r="N19" s="7" t="s">
        <v>48</v>
      </c>
      <c r="O19" s="7">
        <f>SUM(O6:O18)</f>
        <v>24</v>
      </c>
    </row>
    <row r="20" spans="2:38" ht="15" customHeight="1" thickBot="1" x14ac:dyDescent="0.35">
      <c r="B20" s="21" t="s">
        <v>30</v>
      </c>
      <c r="C20" s="14">
        <v>0</v>
      </c>
      <c r="N20" s="35"/>
      <c r="O20" s="35"/>
    </row>
    <row r="21" spans="2:38" ht="15" customHeight="1" x14ac:dyDescent="0.3">
      <c r="B21" s="20" t="s">
        <v>59</v>
      </c>
      <c r="C21" s="14">
        <v>0</v>
      </c>
      <c r="K21" s="50" t="s">
        <v>49</v>
      </c>
      <c r="L21" s="52">
        <f>L18/1</f>
        <v>24</v>
      </c>
      <c r="N21" s="35"/>
      <c r="O21" s="35"/>
    </row>
    <row r="22" spans="2:38" s="1" customFormat="1" ht="15" customHeight="1" thickBot="1" x14ac:dyDescent="0.35">
      <c r="B22" s="20" t="s">
        <v>58</v>
      </c>
      <c r="C22" s="14">
        <v>0</v>
      </c>
      <c r="D22"/>
      <c r="F22" s="36"/>
      <c r="G22"/>
      <c r="K22" s="51"/>
      <c r="L22" s="53"/>
      <c r="N22"/>
      <c r="O22"/>
      <c r="R22"/>
      <c r="S22"/>
    </row>
    <row r="23" spans="2:38" s="1" customFormat="1" ht="15" customHeight="1" thickBot="1" x14ac:dyDescent="0.35">
      <c r="B23" s="20" t="s">
        <v>25</v>
      </c>
      <c r="C23" s="14">
        <v>1</v>
      </c>
      <c r="D23"/>
      <c r="F23"/>
      <c r="G23"/>
      <c r="N23" s="40" t="s">
        <v>61</v>
      </c>
      <c r="O23" s="41"/>
      <c r="R23"/>
      <c r="S23"/>
    </row>
    <row r="24" spans="2:38" s="1" customFormat="1" ht="15" customHeight="1" x14ac:dyDescent="0.3">
      <c r="B24" s="20" t="s">
        <v>42</v>
      </c>
      <c r="C24" s="14">
        <v>0</v>
      </c>
      <c r="F24"/>
      <c r="G24"/>
      <c r="N24" s="17" t="s">
        <v>9</v>
      </c>
      <c r="O24" s="14">
        <f>3+2+1+1</f>
        <v>7</v>
      </c>
      <c r="R24"/>
      <c r="S24"/>
    </row>
    <row r="25" spans="2:38" s="1" customFormat="1" ht="15" customHeight="1" x14ac:dyDescent="0.3">
      <c r="B25" s="20" t="s">
        <v>50</v>
      </c>
      <c r="C25" s="14">
        <v>0</v>
      </c>
      <c r="F25"/>
      <c r="G25"/>
      <c r="N25" s="21" t="s">
        <v>11</v>
      </c>
      <c r="O25" s="14">
        <f>2+4+5+1</f>
        <v>12</v>
      </c>
      <c r="R25"/>
      <c r="S25"/>
    </row>
    <row r="26" spans="2:38" s="1" customFormat="1" ht="15" customHeight="1" x14ac:dyDescent="0.3">
      <c r="B26" s="20" t="s">
        <v>21</v>
      </c>
      <c r="C26" s="14">
        <v>0</v>
      </c>
      <c r="G26"/>
      <c r="N26" s="21" t="s">
        <v>16</v>
      </c>
      <c r="O26" s="14">
        <f>4+9+0+8</f>
        <v>21</v>
      </c>
      <c r="P26" s="39"/>
    </row>
    <row r="27" spans="2:38" s="1" customFormat="1" x14ac:dyDescent="0.3">
      <c r="B27" s="21" t="s">
        <v>57</v>
      </c>
      <c r="C27" s="14">
        <v>0</v>
      </c>
      <c r="G27"/>
      <c r="N27" s="21" t="s">
        <v>14</v>
      </c>
      <c r="O27" s="14">
        <f>1+0+0+0</f>
        <v>1</v>
      </c>
      <c r="Q27"/>
    </row>
    <row r="28" spans="2:38" s="1" customFormat="1" x14ac:dyDescent="0.3">
      <c r="B28" s="21" t="s">
        <v>70</v>
      </c>
      <c r="C28" s="14">
        <v>0</v>
      </c>
      <c r="E28" s="37"/>
      <c r="F28"/>
      <c r="G28"/>
      <c r="N28" s="21" t="s">
        <v>27</v>
      </c>
      <c r="O28" s="14">
        <f>1+3+3+4+4</f>
        <v>15</v>
      </c>
      <c r="Q28"/>
    </row>
    <row r="29" spans="2:38" s="1" customFormat="1" x14ac:dyDescent="0.3">
      <c r="B29" s="21" t="s">
        <v>69</v>
      </c>
      <c r="C29" s="14">
        <v>0</v>
      </c>
      <c r="F29"/>
      <c r="G29"/>
      <c r="N29" s="21" t="s">
        <v>30</v>
      </c>
      <c r="O29" s="14">
        <f>4+3+2+4</f>
        <v>13</v>
      </c>
      <c r="Q29"/>
    </row>
    <row r="30" spans="2:38" s="1" customFormat="1" x14ac:dyDescent="0.3">
      <c r="B30" s="21" t="s">
        <v>53</v>
      </c>
      <c r="C30" s="14">
        <v>0</v>
      </c>
      <c r="F30"/>
      <c r="G30"/>
      <c r="N30" s="21" t="s">
        <v>59</v>
      </c>
      <c r="O30" s="14">
        <f>1+0+0</f>
        <v>1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2:38" s="1" customFormat="1" x14ac:dyDescent="0.3">
      <c r="B31" s="21" t="s">
        <v>54</v>
      </c>
      <c r="C31" s="14">
        <v>0</v>
      </c>
      <c r="N31" s="21" t="s">
        <v>58</v>
      </c>
      <c r="O31" s="14">
        <v>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2:38" s="1" customFormat="1" ht="15" thickBot="1" x14ac:dyDescent="0.35">
      <c r="B32" s="30" t="s">
        <v>55</v>
      </c>
      <c r="C32" s="14">
        <v>0</v>
      </c>
      <c r="N32" s="21" t="s">
        <v>33</v>
      </c>
      <c r="O32" s="14">
        <f>0+1+2</f>
        <v>3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2:40" s="1" customFormat="1" ht="15" thickBot="1" x14ac:dyDescent="0.35">
      <c r="B33" s="38" t="s">
        <v>56</v>
      </c>
      <c r="C33" s="7">
        <f>SUM(C14:C32)</f>
        <v>2</v>
      </c>
      <c r="N33" s="21" t="s">
        <v>47</v>
      </c>
      <c r="O33" s="14">
        <f>0+6+4</f>
        <v>10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2:40" s="1" customFormat="1" ht="15" thickBot="1" x14ac:dyDescent="0.35">
      <c r="N34" s="7" t="s">
        <v>48</v>
      </c>
      <c r="O34" s="7">
        <f>SUM(O24:O33)</f>
        <v>83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2:40" s="1" customFormat="1" x14ac:dyDescent="0.3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2:40" s="1" customFormat="1" ht="15" thickBot="1" x14ac:dyDescent="0.3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s="1" customFormat="1" ht="15" thickBot="1" x14ac:dyDescent="0.35">
      <c r="K37"/>
      <c r="L37"/>
      <c r="N37" s="40" t="s">
        <v>62</v>
      </c>
      <c r="O37" s="4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2:40" s="1" customFormat="1" x14ac:dyDescent="0.3">
      <c r="K38"/>
      <c r="L38"/>
      <c r="N38" s="17" t="s">
        <v>9</v>
      </c>
      <c r="O38" s="14">
        <f>5+1+6+5</f>
        <v>17</v>
      </c>
      <c r="R38"/>
      <c r="S38"/>
    </row>
    <row r="39" spans="2:40" x14ac:dyDescent="0.3">
      <c r="B39" s="1"/>
      <c r="C39" s="1"/>
      <c r="D39" s="1"/>
      <c r="F39" s="1"/>
      <c r="G39" s="1"/>
      <c r="N39" s="21" t="s">
        <v>11</v>
      </c>
      <c r="O39" s="14">
        <f>1+6+6+2</f>
        <v>15</v>
      </c>
    </row>
    <row r="40" spans="2:40" s="1" customFormat="1" x14ac:dyDescent="0.3">
      <c r="K40"/>
      <c r="L40"/>
      <c r="N40" s="21" t="s">
        <v>16</v>
      </c>
      <c r="O40" s="14">
        <f>4+4+5+6</f>
        <v>19</v>
      </c>
      <c r="P40" s="39"/>
      <c r="R40"/>
      <c r="S40"/>
    </row>
    <row r="41" spans="2:40" x14ac:dyDescent="0.3">
      <c r="B41" s="1"/>
      <c r="C41" s="1"/>
      <c r="F41" s="1"/>
      <c r="G41" s="1"/>
      <c r="N41" s="21" t="s">
        <v>14</v>
      </c>
      <c r="O41" s="14">
        <f>1+3</f>
        <v>4</v>
      </c>
    </row>
    <row r="42" spans="2:40" s="1" customFormat="1" x14ac:dyDescent="0.3">
      <c r="F42"/>
      <c r="G42"/>
      <c r="K42"/>
      <c r="L42"/>
      <c r="N42" s="21" t="s">
        <v>27</v>
      </c>
      <c r="O42" s="14">
        <f>4+5+3</f>
        <v>12</v>
      </c>
      <c r="R42"/>
      <c r="S42"/>
    </row>
    <row r="43" spans="2:40" x14ac:dyDescent="0.3">
      <c r="B43" s="1"/>
      <c r="C43" s="1"/>
      <c r="N43" s="21" t="s">
        <v>30</v>
      </c>
      <c r="O43" s="14">
        <f>1+3+5+4+6</f>
        <v>19</v>
      </c>
      <c r="Q43"/>
    </row>
    <row r="44" spans="2:40" x14ac:dyDescent="0.3">
      <c r="C44" s="1"/>
      <c r="D44" s="1"/>
      <c r="N44" s="21" t="s">
        <v>59</v>
      </c>
      <c r="O44" s="14">
        <f>1+3+0+2</f>
        <v>6</v>
      </c>
      <c r="Q44"/>
    </row>
    <row r="45" spans="2:40" x14ac:dyDescent="0.3">
      <c r="N45" s="21" t="s">
        <v>58</v>
      </c>
      <c r="O45" s="14">
        <f>1+0+0</f>
        <v>1</v>
      </c>
      <c r="Q45"/>
    </row>
    <row r="46" spans="2:40" ht="15" customHeight="1" x14ac:dyDescent="0.3">
      <c r="N46" s="21" t="s">
        <v>33</v>
      </c>
      <c r="O46" s="14">
        <f>0+3+2</f>
        <v>5</v>
      </c>
      <c r="Q46"/>
    </row>
    <row r="47" spans="2:40" ht="15" thickBot="1" x14ac:dyDescent="0.35">
      <c r="K47" s="42"/>
      <c r="L47" s="42"/>
      <c r="N47" s="21" t="s">
        <v>47</v>
      </c>
      <c r="O47" s="14">
        <f>1+11+0</f>
        <v>12</v>
      </c>
      <c r="Q47"/>
    </row>
    <row r="48" spans="2:40" ht="15" thickBot="1" x14ac:dyDescent="0.35">
      <c r="N48" s="7" t="s">
        <v>48</v>
      </c>
      <c r="O48" s="7">
        <f>SUM(O38:O47)</f>
        <v>110</v>
      </c>
      <c r="P48"/>
      <c r="Q48"/>
    </row>
    <row r="49" spans="16:17" x14ac:dyDescent="0.3">
      <c r="P49"/>
      <c r="Q49"/>
    </row>
    <row r="50" spans="16:17" x14ac:dyDescent="0.3">
      <c r="P50"/>
      <c r="Q50"/>
    </row>
    <row r="51" spans="16:17" x14ac:dyDescent="0.3">
      <c r="P51"/>
      <c r="Q51"/>
    </row>
    <row r="52" spans="16:17" x14ac:dyDescent="0.3">
      <c r="P52"/>
      <c r="Q52"/>
    </row>
    <row r="53" spans="16:17" x14ac:dyDescent="0.3">
      <c r="P53"/>
      <c r="Q53"/>
    </row>
    <row r="54" spans="16:17" x14ac:dyDescent="0.3">
      <c r="P54"/>
      <c r="Q54"/>
    </row>
    <row r="55" spans="16:17" x14ac:dyDescent="0.3">
      <c r="P55"/>
      <c r="Q55"/>
    </row>
    <row r="56" spans="16:17" x14ac:dyDescent="0.3">
      <c r="P56"/>
      <c r="Q56"/>
    </row>
    <row r="57" spans="16:17" x14ac:dyDescent="0.3">
      <c r="P57"/>
      <c r="Q57"/>
    </row>
    <row r="58" spans="16:17" x14ac:dyDescent="0.3">
      <c r="P58"/>
      <c r="Q58"/>
    </row>
    <row r="59" spans="16:17" x14ac:dyDescent="0.3">
      <c r="P59"/>
      <c r="Q59"/>
    </row>
    <row r="60" spans="16:17" x14ac:dyDescent="0.3">
      <c r="P60"/>
      <c r="Q60"/>
    </row>
    <row r="61" spans="16:17" x14ac:dyDescent="0.3">
      <c r="P61"/>
      <c r="Q61"/>
    </row>
    <row r="62" spans="16:17" x14ac:dyDescent="0.3">
      <c r="P62"/>
      <c r="Q62"/>
    </row>
    <row r="63" spans="16:17" x14ac:dyDescent="0.3">
      <c r="P63"/>
      <c r="Q63"/>
    </row>
    <row r="64" spans="16:17" x14ac:dyDescent="0.3">
      <c r="P64"/>
      <c r="Q64"/>
    </row>
    <row r="65" spans="16:17" x14ac:dyDescent="0.3">
      <c r="P65"/>
      <c r="Q65"/>
    </row>
    <row r="66" spans="16:17" x14ac:dyDescent="0.3">
      <c r="P66"/>
      <c r="Q66"/>
    </row>
    <row r="67" spans="16:17" x14ac:dyDescent="0.3">
      <c r="P67"/>
      <c r="Q67"/>
    </row>
    <row r="68" spans="16:17" x14ac:dyDescent="0.3">
      <c r="P68"/>
      <c r="Q68"/>
    </row>
    <row r="69" spans="16:17" x14ac:dyDescent="0.3">
      <c r="P69"/>
      <c r="Q69"/>
    </row>
    <row r="70" spans="16:17" x14ac:dyDescent="0.3">
      <c r="P70"/>
      <c r="Q70"/>
    </row>
    <row r="71" spans="16:17" x14ac:dyDescent="0.3">
      <c r="P71"/>
      <c r="Q71"/>
    </row>
    <row r="72" spans="16:17" x14ac:dyDescent="0.3">
      <c r="P72"/>
      <c r="Q72"/>
    </row>
    <row r="73" spans="16:17" x14ac:dyDescent="0.3">
      <c r="P73"/>
      <c r="Q73"/>
    </row>
    <row r="74" spans="16:17" x14ac:dyDescent="0.3">
      <c r="P74"/>
      <c r="Q74"/>
    </row>
    <row r="75" spans="16:17" x14ac:dyDescent="0.3">
      <c r="P75"/>
      <c r="Q75"/>
    </row>
    <row r="76" spans="16:17" x14ac:dyDescent="0.3">
      <c r="P76"/>
      <c r="Q76"/>
    </row>
    <row r="77" spans="16:17" x14ac:dyDescent="0.3">
      <c r="P77"/>
      <c r="Q77"/>
    </row>
    <row r="78" spans="16:17" x14ac:dyDescent="0.3">
      <c r="P78"/>
      <c r="Q78"/>
    </row>
    <row r="79" spans="16:17" x14ac:dyDescent="0.3">
      <c r="P79"/>
      <c r="Q79"/>
    </row>
    <row r="80" spans="16:17" x14ac:dyDescent="0.3">
      <c r="P80"/>
      <c r="Q80"/>
    </row>
    <row r="81" spans="16:17" x14ac:dyDescent="0.3">
      <c r="P81"/>
      <c r="Q81"/>
    </row>
    <row r="82" spans="16:17" x14ac:dyDescent="0.3">
      <c r="P82"/>
      <c r="Q82"/>
    </row>
    <row r="83" spans="16:17" x14ac:dyDescent="0.3">
      <c r="P83"/>
      <c r="Q83"/>
    </row>
    <row r="84" spans="16:17" x14ac:dyDescent="0.3">
      <c r="P84"/>
      <c r="Q84"/>
    </row>
    <row r="85" spans="16:17" x14ac:dyDescent="0.3">
      <c r="P85"/>
      <c r="Q85"/>
    </row>
    <row r="86" spans="16:17" x14ac:dyDescent="0.3">
      <c r="P86"/>
      <c r="Q86"/>
    </row>
    <row r="87" spans="16:17" x14ac:dyDescent="0.3">
      <c r="P87"/>
      <c r="Q87"/>
    </row>
    <row r="88" spans="16:17" x14ac:dyDescent="0.3">
      <c r="P88"/>
      <c r="Q88"/>
    </row>
    <row r="89" spans="16:17" x14ac:dyDescent="0.3">
      <c r="P89"/>
      <c r="Q89"/>
    </row>
    <row r="90" spans="16:17" x14ac:dyDescent="0.3">
      <c r="P90"/>
      <c r="Q90"/>
    </row>
    <row r="91" spans="16:17" x14ac:dyDescent="0.3">
      <c r="P91"/>
      <c r="Q91"/>
    </row>
    <row r="92" spans="16:17" x14ac:dyDescent="0.3">
      <c r="P92"/>
      <c r="Q92"/>
    </row>
    <row r="93" spans="16:17" x14ac:dyDescent="0.3">
      <c r="P93"/>
      <c r="Q93"/>
    </row>
    <row r="94" spans="16:17" x14ac:dyDescent="0.3">
      <c r="P94"/>
      <c r="Q94"/>
    </row>
    <row r="95" spans="16:17" x14ac:dyDescent="0.3">
      <c r="P95"/>
      <c r="Q95"/>
    </row>
    <row r="96" spans="16:17" x14ac:dyDescent="0.3">
      <c r="P96"/>
      <c r="Q96"/>
    </row>
    <row r="97" spans="16:17" x14ac:dyDescent="0.3">
      <c r="P97"/>
      <c r="Q97"/>
    </row>
    <row r="98" spans="16:17" x14ac:dyDescent="0.3">
      <c r="P98"/>
      <c r="Q98"/>
    </row>
    <row r="99" spans="16:17" x14ac:dyDescent="0.3">
      <c r="P99"/>
      <c r="Q99"/>
    </row>
    <row r="100" spans="16:17" x14ac:dyDescent="0.3">
      <c r="P100"/>
      <c r="Q100"/>
    </row>
    <row r="101" spans="16:17" x14ac:dyDescent="0.3">
      <c r="P101"/>
      <c r="Q101"/>
    </row>
    <row r="102" spans="16:17" x14ac:dyDescent="0.3">
      <c r="P102"/>
      <c r="Q102"/>
    </row>
    <row r="103" spans="16:17" x14ac:dyDescent="0.3">
      <c r="P103"/>
      <c r="Q103"/>
    </row>
    <row r="104" spans="16:17" x14ac:dyDescent="0.3">
      <c r="P104"/>
      <c r="Q104"/>
    </row>
    <row r="105" spans="16:17" x14ac:dyDescent="0.3">
      <c r="P105"/>
      <c r="Q105"/>
    </row>
    <row r="106" spans="16:17" x14ac:dyDescent="0.3">
      <c r="P106"/>
      <c r="Q106"/>
    </row>
    <row r="107" spans="16:17" x14ac:dyDescent="0.3">
      <c r="P107"/>
      <c r="Q107"/>
    </row>
    <row r="108" spans="16:17" x14ac:dyDescent="0.3">
      <c r="P108"/>
      <c r="Q108"/>
    </row>
    <row r="109" spans="16:17" x14ac:dyDescent="0.3">
      <c r="P109"/>
      <c r="Q109"/>
    </row>
    <row r="110" spans="16:17" x14ac:dyDescent="0.3">
      <c r="P110"/>
      <c r="Q110"/>
    </row>
    <row r="111" spans="16:17" x14ac:dyDescent="0.3">
      <c r="P111"/>
      <c r="Q111"/>
    </row>
    <row r="112" spans="16:17" x14ac:dyDescent="0.3">
      <c r="P112"/>
      <c r="Q112"/>
    </row>
    <row r="113" spans="16:17" x14ac:dyDescent="0.3">
      <c r="P113"/>
      <c r="Q113"/>
    </row>
    <row r="114" spans="16:17" x14ac:dyDescent="0.3">
      <c r="P114"/>
      <c r="Q114"/>
    </row>
    <row r="115" spans="16:17" x14ac:dyDescent="0.3">
      <c r="P115"/>
      <c r="Q115"/>
    </row>
    <row r="116" spans="16:17" x14ac:dyDescent="0.3">
      <c r="P116"/>
      <c r="Q116"/>
    </row>
    <row r="117" spans="16:17" x14ac:dyDescent="0.3">
      <c r="P117"/>
      <c r="Q117"/>
    </row>
    <row r="118" spans="16:17" x14ac:dyDescent="0.3">
      <c r="P118"/>
      <c r="Q118"/>
    </row>
    <row r="119" spans="16:17" x14ac:dyDescent="0.3">
      <c r="P119"/>
      <c r="Q119"/>
    </row>
    <row r="120" spans="16:17" x14ac:dyDescent="0.3">
      <c r="P120"/>
      <c r="Q120"/>
    </row>
    <row r="121" spans="16:17" x14ac:dyDescent="0.3">
      <c r="P121"/>
      <c r="Q121"/>
    </row>
    <row r="122" spans="16:17" x14ac:dyDescent="0.3">
      <c r="P122"/>
      <c r="Q122"/>
    </row>
    <row r="123" spans="16:17" x14ac:dyDescent="0.3">
      <c r="P123"/>
      <c r="Q123"/>
    </row>
    <row r="124" spans="16:17" x14ac:dyDescent="0.3">
      <c r="P124"/>
      <c r="Q124"/>
    </row>
    <row r="125" spans="16:17" x14ac:dyDescent="0.3">
      <c r="P125"/>
      <c r="Q125"/>
    </row>
    <row r="126" spans="16:17" x14ac:dyDescent="0.3">
      <c r="P126"/>
      <c r="Q126"/>
    </row>
    <row r="127" spans="16:17" x14ac:dyDescent="0.3">
      <c r="P127"/>
      <c r="Q127"/>
    </row>
    <row r="128" spans="16:17" x14ac:dyDescent="0.3">
      <c r="P128"/>
      <c r="Q128"/>
    </row>
    <row r="129" spans="16:17" x14ac:dyDescent="0.3">
      <c r="P129"/>
      <c r="Q129"/>
    </row>
    <row r="130" spans="16:17" x14ac:dyDescent="0.3">
      <c r="P130"/>
      <c r="Q130"/>
    </row>
    <row r="131" spans="16:17" x14ac:dyDescent="0.3">
      <c r="P131"/>
      <c r="Q131"/>
    </row>
    <row r="132" spans="16:17" x14ac:dyDescent="0.3">
      <c r="P132"/>
      <c r="Q132"/>
    </row>
    <row r="133" spans="16:17" x14ac:dyDescent="0.3">
      <c r="P133"/>
      <c r="Q133"/>
    </row>
    <row r="134" spans="16:17" x14ac:dyDescent="0.3">
      <c r="P134"/>
      <c r="Q134"/>
    </row>
    <row r="135" spans="16:17" x14ac:dyDescent="0.3">
      <c r="P135"/>
      <c r="Q135"/>
    </row>
    <row r="136" spans="16:17" x14ac:dyDescent="0.3">
      <c r="P136"/>
      <c r="Q136"/>
    </row>
    <row r="137" spans="16:17" x14ac:dyDescent="0.3">
      <c r="P137"/>
      <c r="Q137"/>
    </row>
    <row r="138" spans="16:17" x14ac:dyDescent="0.3">
      <c r="P138"/>
      <c r="Q138"/>
    </row>
    <row r="139" spans="16:17" x14ac:dyDescent="0.3">
      <c r="P139"/>
      <c r="Q139"/>
    </row>
    <row r="140" spans="16:17" x14ac:dyDescent="0.3">
      <c r="P140"/>
      <c r="Q140"/>
    </row>
    <row r="141" spans="16:17" x14ac:dyDescent="0.3">
      <c r="P141"/>
      <c r="Q141"/>
    </row>
    <row r="142" spans="16:17" x14ac:dyDescent="0.3">
      <c r="P142"/>
      <c r="Q142"/>
    </row>
    <row r="143" spans="16:17" x14ac:dyDescent="0.3">
      <c r="P143"/>
      <c r="Q143"/>
    </row>
    <row r="144" spans="16:17" x14ac:dyDescent="0.3">
      <c r="P144"/>
      <c r="Q144"/>
    </row>
    <row r="145" spans="16:17" x14ac:dyDescent="0.3">
      <c r="P145"/>
      <c r="Q145"/>
    </row>
    <row r="146" spans="16:17" x14ac:dyDescent="0.3">
      <c r="P146"/>
      <c r="Q146"/>
    </row>
    <row r="147" spans="16:17" x14ac:dyDescent="0.3">
      <c r="P147"/>
      <c r="Q147"/>
    </row>
    <row r="148" spans="16:17" x14ac:dyDescent="0.3">
      <c r="P148"/>
      <c r="Q148"/>
    </row>
    <row r="149" spans="16:17" x14ac:dyDescent="0.3">
      <c r="P149"/>
      <c r="Q149"/>
    </row>
    <row r="150" spans="16:17" x14ac:dyDescent="0.3">
      <c r="P150"/>
      <c r="Q150"/>
    </row>
    <row r="151" spans="16:17" x14ac:dyDescent="0.3">
      <c r="P151"/>
      <c r="Q151"/>
    </row>
    <row r="152" spans="16:17" x14ac:dyDescent="0.3">
      <c r="P152"/>
      <c r="Q152"/>
    </row>
    <row r="153" spans="16:17" x14ac:dyDescent="0.3">
      <c r="P153"/>
      <c r="Q153"/>
    </row>
    <row r="154" spans="16:17" x14ac:dyDescent="0.3">
      <c r="P154"/>
      <c r="Q154"/>
    </row>
    <row r="155" spans="16:17" x14ac:dyDescent="0.3">
      <c r="P155"/>
      <c r="Q155"/>
    </row>
    <row r="156" spans="16:17" x14ac:dyDescent="0.3">
      <c r="P156"/>
      <c r="Q156"/>
    </row>
    <row r="157" spans="16:17" x14ac:dyDescent="0.3">
      <c r="P157"/>
      <c r="Q157"/>
    </row>
    <row r="158" spans="16:17" x14ac:dyDescent="0.3">
      <c r="P158"/>
      <c r="Q158"/>
    </row>
    <row r="159" spans="16:17" x14ac:dyDescent="0.3">
      <c r="P159"/>
      <c r="Q159"/>
    </row>
    <row r="160" spans="16:17" x14ac:dyDescent="0.3">
      <c r="P160"/>
      <c r="Q160"/>
    </row>
    <row r="161" spans="16:17" x14ac:dyDescent="0.3">
      <c r="P161"/>
      <c r="Q161"/>
    </row>
    <row r="162" spans="16:17" x14ac:dyDescent="0.3">
      <c r="P162"/>
      <c r="Q162"/>
    </row>
    <row r="163" spans="16:17" x14ac:dyDescent="0.3">
      <c r="P163"/>
      <c r="Q163"/>
    </row>
    <row r="164" spans="16:17" x14ac:dyDescent="0.3">
      <c r="P164"/>
      <c r="Q164"/>
    </row>
    <row r="165" spans="16:17" x14ac:dyDescent="0.3">
      <c r="P165"/>
      <c r="Q165"/>
    </row>
    <row r="166" spans="16:17" x14ac:dyDescent="0.3">
      <c r="P166"/>
      <c r="Q166"/>
    </row>
    <row r="167" spans="16:17" x14ac:dyDescent="0.3">
      <c r="P167"/>
      <c r="Q167"/>
    </row>
    <row r="168" spans="16:17" x14ac:dyDescent="0.3">
      <c r="P168"/>
      <c r="Q168"/>
    </row>
    <row r="169" spans="16:17" x14ac:dyDescent="0.3">
      <c r="P169"/>
      <c r="Q169"/>
    </row>
    <row r="170" spans="16:17" x14ac:dyDescent="0.3">
      <c r="P170"/>
      <c r="Q170"/>
    </row>
    <row r="171" spans="16:17" x14ac:dyDescent="0.3">
      <c r="P171"/>
      <c r="Q171"/>
    </row>
    <row r="172" spans="16:17" x14ac:dyDescent="0.3">
      <c r="P172"/>
      <c r="Q172"/>
    </row>
    <row r="173" spans="16:17" x14ac:dyDescent="0.3">
      <c r="P173"/>
      <c r="Q173"/>
    </row>
    <row r="174" spans="16:17" x14ac:dyDescent="0.3">
      <c r="P174"/>
      <c r="Q174"/>
    </row>
    <row r="175" spans="16:17" x14ac:dyDescent="0.3">
      <c r="P175"/>
      <c r="Q175"/>
    </row>
    <row r="176" spans="16:17" x14ac:dyDescent="0.3">
      <c r="P176"/>
      <c r="Q176"/>
    </row>
    <row r="177" spans="16:17" x14ac:dyDescent="0.3">
      <c r="P177"/>
      <c r="Q177"/>
    </row>
    <row r="178" spans="16:17" x14ac:dyDescent="0.3">
      <c r="P178"/>
      <c r="Q178"/>
    </row>
    <row r="179" spans="16:17" x14ac:dyDescent="0.3">
      <c r="P179"/>
      <c r="Q179"/>
    </row>
    <row r="180" spans="16:17" x14ac:dyDescent="0.3">
      <c r="P180"/>
      <c r="Q180"/>
    </row>
    <row r="181" spans="16:17" x14ac:dyDescent="0.3">
      <c r="P181"/>
      <c r="Q181"/>
    </row>
    <row r="182" spans="16:17" x14ac:dyDescent="0.3">
      <c r="P182"/>
      <c r="Q182"/>
    </row>
    <row r="183" spans="16:17" x14ac:dyDescent="0.3">
      <c r="P183"/>
      <c r="Q183"/>
    </row>
    <row r="184" spans="16:17" x14ac:dyDescent="0.3">
      <c r="P184"/>
      <c r="Q184"/>
    </row>
    <row r="185" spans="16:17" x14ac:dyDescent="0.3">
      <c r="P185"/>
      <c r="Q185"/>
    </row>
    <row r="186" spans="16:17" x14ac:dyDescent="0.3">
      <c r="P186"/>
      <c r="Q186"/>
    </row>
    <row r="187" spans="16:17" x14ac:dyDescent="0.3">
      <c r="P187"/>
      <c r="Q187"/>
    </row>
    <row r="188" spans="16:17" x14ac:dyDesce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r="191" spans="16:17" x14ac:dyDescent="0.3">
      <c r="P191"/>
      <c r="Q191"/>
    </row>
    <row r="192" spans="16:17" x14ac:dyDescent="0.3">
      <c r="P192"/>
      <c r="Q192"/>
    </row>
    <row r="193" spans="16:17" x14ac:dyDescent="0.3">
      <c r="P193"/>
      <c r="Q193"/>
    </row>
    <row r="194" spans="16:17" x14ac:dyDescent="0.3">
      <c r="P194"/>
      <c r="Q194"/>
    </row>
    <row r="195" spans="16:17" x14ac:dyDescent="0.3">
      <c r="P195"/>
      <c r="Q195"/>
    </row>
    <row r="196" spans="16:17" x14ac:dyDescent="0.3">
      <c r="P196"/>
      <c r="Q196"/>
    </row>
    <row r="197" spans="16:17" x14ac:dyDescent="0.3">
      <c r="P197"/>
      <c r="Q197"/>
    </row>
    <row r="198" spans="16:17" x14ac:dyDescent="0.3">
      <c r="P198"/>
      <c r="Q198"/>
    </row>
    <row r="199" spans="16:17" x14ac:dyDescent="0.3">
      <c r="P199"/>
      <c r="Q199"/>
    </row>
    <row r="200" spans="16:17" x14ac:dyDescent="0.3">
      <c r="P200"/>
      <c r="Q200"/>
    </row>
    <row r="201" spans="16:17" x14ac:dyDescent="0.3">
      <c r="P201"/>
      <c r="Q201"/>
    </row>
    <row r="202" spans="16:17" x14ac:dyDescent="0.3">
      <c r="P202"/>
      <c r="Q202"/>
    </row>
    <row r="203" spans="16:17" x14ac:dyDescent="0.3">
      <c r="P203"/>
      <c r="Q203"/>
    </row>
    <row r="204" spans="16:17" x14ac:dyDescent="0.3">
      <c r="P204"/>
      <c r="Q204"/>
    </row>
    <row r="205" spans="16:17" x14ac:dyDescent="0.3">
      <c r="P205"/>
      <c r="Q205"/>
    </row>
    <row r="206" spans="16:17" x14ac:dyDescent="0.3">
      <c r="P206"/>
      <c r="Q206"/>
    </row>
    <row r="207" spans="16:17" x14ac:dyDescent="0.3">
      <c r="P207"/>
      <c r="Q207"/>
    </row>
    <row r="208" spans="16:17" x14ac:dyDescent="0.3">
      <c r="P208"/>
      <c r="Q208"/>
    </row>
    <row r="209" spans="16:17" x14ac:dyDescent="0.3">
      <c r="P209"/>
      <c r="Q209"/>
    </row>
    <row r="210" spans="16:17" x14ac:dyDescent="0.3">
      <c r="P210"/>
      <c r="Q210"/>
    </row>
    <row r="211" spans="16:17" x14ac:dyDescent="0.3">
      <c r="P211"/>
      <c r="Q211"/>
    </row>
    <row r="212" spans="16:17" x14ac:dyDescent="0.3">
      <c r="P212"/>
      <c r="Q212"/>
    </row>
    <row r="213" spans="16:17" x14ac:dyDescent="0.3">
      <c r="P213"/>
      <c r="Q213"/>
    </row>
    <row r="214" spans="16:17" x14ac:dyDescent="0.3">
      <c r="P214"/>
      <c r="Q214"/>
    </row>
    <row r="215" spans="16:17" x14ac:dyDescent="0.3">
      <c r="P215"/>
      <c r="Q215"/>
    </row>
    <row r="216" spans="16:17" x14ac:dyDescent="0.3">
      <c r="P216"/>
      <c r="Q216"/>
    </row>
    <row r="217" spans="16:17" x14ac:dyDescent="0.3">
      <c r="P217"/>
      <c r="Q217"/>
    </row>
    <row r="218" spans="16:17" x14ac:dyDescent="0.3">
      <c r="P218"/>
      <c r="Q218"/>
    </row>
    <row r="219" spans="16:17" x14ac:dyDescent="0.3">
      <c r="P219"/>
      <c r="Q219"/>
    </row>
    <row r="220" spans="16:17" x14ac:dyDescent="0.3">
      <c r="P220"/>
      <c r="Q220"/>
    </row>
    <row r="221" spans="16:17" x14ac:dyDescent="0.3">
      <c r="P221"/>
      <c r="Q221"/>
    </row>
    <row r="222" spans="16:17" x14ac:dyDescent="0.3">
      <c r="P222"/>
      <c r="Q222"/>
    </row>
    <row r="223" spans="16:17" x14ac:dyDescent="0.3">
      <c r="P223"/>
      <c r="Q223"/>
    </row>
    <row r="224" spans="16:17" x14ac:dyDescent="0.3">
      <c r="P224"/>
      <c r="Q224"/>
    </row>
    <row r="225" spans="16:17" x14ac:dyDescent="0.3">
      <c r="P225"/>
      <c r="Q225"/>
    </row>
    <row r="226" spans="16:17" x14ac:dyDescent="0.3">
      <c r="P226"/>
      <c r="Q226"/>
    </row>
    <row r="227" spans="16:17" x14ac:dyDescent="0.3">
      <c r="P227"/>
      <c r="Q227"/>
    </row>
    <row r="228" spans="16:17" x14ac:dyDescent="0.3">
      <c r="P228"/>
      <c r="Q228"/>
    </row>
    <row r="229" spans="16:17" x14ac:dyDescent="0.3">
      <c r="P229"/>
      <c r="Q229"/>
    </row>
    <row r="230" spans="16:17" x14ac:dyDescent="0.3">
      <c r="P230"/>
      <c r="Q230"/>
    </row>
    <row r="231" spans="16:17" x14ac:dyDescent="0.3">
      <c r="P231"/>
      <c r="Q231"/>
    </row>
    <row r="232" spans="16:17" x14ac:dyDescent="0.3">
      <c r="P232"/>
      <c r="Q232"/>
    </row>
    <row r="233" spans="16:17" x14ac:dyDescent="0.3">
      <c r="P233"/>
      <c r="Q233"/>
    </row>
    <row r="234" spans="16:17" x14ac:dyDescent="0.3">
      <c r="P234"/>
      <c r="Q234"/>
    </row>
    <row r="235" spans="16:17" x14ac:dyDescent="0.3">
      <c r="P235"/>
      <c r="Q235"/>
    </row>
    <row r="236" spans="16:17" x14ac:dyDescent="0.3">
      <c r="P236"/>
      <c r="Q236"/>
    </row>
    <row r="237" spans="16:17" x14ac:dyDescent="0.3">
      <c r="P237"/>
      <c r="Q237"/>
    </row>
    <row r="238" spans="16:17" x14ac:dyDescent="0.3">
      <c r="P238"/>
      <c r="Q238"/>
    </row>
    <row r="239" spans="16:17" x14ac:dyDescent="0.3">
      <c r="P239"/>
      <c r="Q239"/>
    </row>
    <row r="240" spans="16:17" x14ac:dyDescent="0.3">
      <c r="P240"/>
      <c r="Q240"/>
    </row>
    <row r="241" spans="16:17" x14ac:dyDescent="0.3">
      <c r="P241"/>
      <c r="Q241"/>
    </row>
    <row r="242" spans="16:17" x14ac:dyDescent="0.3">
      <c r="P242"/>
      <c r="Q242"/>
    </row>
    <row r="243" spans="16:17" x14ac:dyDescent="0.3">
      <c r="P243"/>
      <c r="Q243"/>
    </row>
    <row r="244" spans="16:17" x14ac:dyDescent="0.3">
      <c r="P244"/>
      <c r="Q244"/>
    </row>
    <row r="245" spans="16:17" x14ac:dyDescent="0.3">
      <c r="P245"/>
      <c r="Q245"/>
    </row>
    <row r="246" spans="16:17" x14ac:dyDescent="0.3">
      <c r="P246"/>
      <c r="Q246"/>
    </row>
    <row r="247" spans="16:17" x14ac:dyDescent="0.3">
      <c r="P247"/>
      <c r="Q247"/>
    </row>
    <row r="248" spans="16:17" x14ac:dyDescent="0.3">
      <c r="P248"/>
      <c r="Q248"/>
    </row>
    <row r="249" spans="16:17" x14ac:dyDescent="0.3">
      <c r="P249"/>
      <c r="Q249"/>
    </row>
    <row r="250" spans="16:17" x14ac:dyDescent="0.3">
      <c r="P250"/>
      <c r="Q250"/>
    </row>
    <row r="251" spans="16:17" x14ac:dyDescent="0.3">
      <c r="P251"/>
      <c r="Q251"/>
    </row>
    <row r="252" spans="16:17" x14ac:dyDescent="0.3">
      <c r="P252"/>
      <c r="Q252"/>
    </row>
    <row r="253" spans="16:17" x14ac:dyDescent="0.3">
      <c r="P253"/>
      <c r="Q253"/>
    </row>
    <row r="254" spans="16:17" x14ac:dyDescent="0.3">
      <c r="P254"/>
      <c r="Q254"/>
    </row>
    <row r="255" spans="16:17" x14ac:dyDescent="0.3">
      <c r="P255"/>
      <c r="Q255"/>
    </row>
    <row r="256" spans="16:17" x14ac:dyDescent="0.3">
      <c r="P256"/>
      <c r="Q256"/>
    </row>
    <row r="257" spans="16:17" x14ac:dyDescent="0.3">
      <c r="P257"/>
      <c r="Q257"/>
    </row>
    <row r="258" spans="16:17" x14ac:dyDescent="0.3">
      <c r="P258"/>
      <c r="Q258"/>
    </row>
    <row r="259" spans="16:17" x14ac:dyDescent="0.3">
      <c r="P259"/>
      <c r="Q259"/>
    </row>
    <row r="260" spans="16:17" x14ac:dyDescent="0.3">
      <c r="P260"/>
      <c r="Q260"/>
    </row>
    <row r="261" spans="16:17" x14ac:dyDescent="0.3">
      <c r="P261"/>
      <c r="Q261"/>
    </row>
    <row r="262" spans="16:17" x14ac:dyDescent="0.3">
      <c r="P262"/>
      <c r="Q262"/>
    </row>
    <row r="263" spans="16:17" x14ac:dyDescent="0.3">
      <c r="P263"/>
      <c r="Q263"/>
    </row>
    <row r="264" spans="16:17" x14ac:dyDescent="0.3">
      <c r="P264"/>
      <c r="Q264"/>
    </row>
    <row r="265" spans="16:17" x14ac:dyDescent="0.3">
      <c r="P265"/>
      <c r="Q265"/>
    </row>
    <row r="266" spans="16:17" x14ac:dyDescent="0.3">
      <c r="P266"/>
      <c r="Q266"/>
    </row>
    <row r="267" spans="16:17" x14ac:dyDescent="0.3">
      <c r="P267"/>
      <c r="Q267"/>
    </row>
    <row r="268" spans="16:17" x14ac:dyDescent="0.3">
      <c r="P268"/>
      <c r="Q268"/>
    </row>
    <row r="269" spans="16:17" x14ac:dyDescent="0.3">
      <c r="P269"/>
      <c r="Q269"/>
    </row>
    <row r="270" spans="16:17" x14ac:dyDescent="0.3">
      <c r="P270"/>
      <c r="Q270"/>
    </row>
    <row r="271" spans="16:17" x14ac:dyDescent="0.3">
      <c r="P271"/>
      <c r="Q271"/>
    </row>
    <row r="272" spans="16:17" x14ac:dyDescent="0.3">
      <c r="P272"/>
      <c r="Q272"/>
    </row>
    <row r="273" spans="16:17" x14ac:dyDescent="0.3">
      <c r="P273"/>
      <c r="Q273"/>
    </row>
    <row r="274" spans="16:17" x14ac:dyDescent="0.3">
      <c r="P274"/>
      <c r="Q274"/>
    </row>
    <row r="275" spans="16:17" x14ac:dyDescent="0.3">
      <c r="P275"/>
      <c r="Q275"/>
    </row>
    <row r="276" spans="16:17" x14ac:dyDescent="0.3">
      <c r="P276"/>
      <c r="Q276"/>
    </row>
    <row r="277" spans="16:17" x14ac:dyDescent="0.3">
      <c r="P277"/>
      <c r="Q277"/>
    </row>
    <row r="278" spans="16:17" x14ac:dyDescent="0.3">
      <c r="P278"/>
      <c r="Q278"/>
    </row>
    <row r="279" spans="16:17" x14ac:dyDescent="0.3">
      <c r="P279"/>
      <c r="Q279"/>
    </row>
    <row r="280" spans="16:17" x14ac:dyDescent="0.3">
      <c r="P280"/>
      <c r="Q280"/>
    </row>
    <row r="281" spans="16:17" x14ac:dyDescent="0.3">
      <c r="P281"/>
      <c r="Q281"/>
    </row>
    <row r="282" spans="16:17" x14ac:dyDescent="0.3">
      <c r="P282"/>
      <c r="Q282"/>
    </row>
    <row r="283" spans="16:17" x14ac:dyDescent="0.3">
      <c r="P283"/>
      <c r="Q283"/>
    </row>
    <row r="284" spans="16:17" x14ac:dyDescent="0.3">
      <c r="P284"/>
      <c r="Q284"/>
    </row>
    <row r="285" spans="16:17" x14ac:dyDescent="0.3">
      <c r="P285"/>
      <c r="Q285"/>
    </row>
    <row r="286" spans="16:17" x14ac:dyDescent="0.3">
      <c r="P286"/>
      <c r="Q286"/>
    </row>
    <row r="287" spans="16:17" x14ac:dyDescent="0.3">
      <c r="P287"/>
      <c r="Q287"/>
    </row>
    <row r="288" spans="16:17" x14ac:dyDescent="0.3">
      <c r="P288"/>
      <c r="Q288"/>
    </row>
    <row r="289" spans="16:17" x14ac:dyDescent="0.3">
      <c r="P289"/>
      <c r="Q289"/>
    </row>
    <row r="290" spans="16:17" x14ac:dyDescent="0.3">
      <c r="P290"/>
      <c r="Q290"/>
    </row>
    <row r="291" spans="16:17" x14ac:dyDescent="0.3">
      <c r="P291"/>
      <c r="Q291"/>
    </row>
    <row r="292" spans="16:17" x14ac:dyDescent="0.3">
      <c r="P292"/>
      <c r="Q292"/>
    </row>
    <row r="293" spans="16:17" x14ac:dyDescent="0.3">
      <c r="P293"/>
      <c r="Q293"/>
    </row>
    <row r="294" spans="16:17" x14ac:dyDescent="0.3">
      <c r="P294"/>
      <c r="Q294"/>
    </row>
    <row r="295" spans="16:17" x14ac:dyDescent="0.3">
      <c r="P295"/>
      <c r="Q295"/>
    </row>
    <row r="296" spans="16:17" x14ac:dyDescent="0.3">
      <c r="P296"/>
      <c r="Q296"/>
    </row>
    <row r="297" spans="16:17" x14ac:dyDescent="0.3">
      <c r="P297"/>
      <c r="Q297"/>
    </row>
    <row r="298" spans="16:17" x14ac:dyDescent="0.3">
      <c r="P298"/>
      <c r="Q298"/>
    </row>
    <row r="299" spans="16:17" x14ac:dyDescent="0.3">
      <c r="P299"/>
      <c r="Q299"/>
    </row>
    <row r="300" spans="16:17" x14ac:dyDescent="0.3">
      <c r="P300"/>
      <c r="Q300"/>
    </row>
    <row r="301" spans="16:17" x14ac:dyDescent="0.3">
      <c r="P301"/>
      <c r="Q301"/>
    </row>
    <row r="302" spans="16:17" x14ac:dyDescent="0.3">
      <c r="P302"/>
      <c r="Q302"/>
    </row>
    <row r="303" spans="16:17" x14ac:dyDescent="0.3">
      <c r="P303"/>
      <c r="Q303"/>
    </row>
    <row r="304" spans="16:17" x14ac:dyDescent="0.3">
      <c r="P304"/>
      <c r="Q304"/>
    </row>
    <row r="305" spans="16:17" x14ac:dyDescent="0.3">
      <c r="P305"/>
      <c r="Q305"/>
    </row>
    <row r="306" spans="16:17" x14ac:dyDescent="0.3">
      <c r="P306"/>
      <c r="Q306"/>
    </row>
    <row r="307" spans="16:17" x14ac:dyDescent="0.3">
      <c r="P307"/>
      <c r="Q307"/>
    </row>
    <row r="308" spans="16:17" x14ac:dyDescent="0.3">
      <c r="P308"/>
      <c r="Q308"/>
    </row>
    <row r="309" spans="16:17" x14ac:dyDescent="0.3">
      <c r="P309"/>
      <c r="Q309"/>
    </row>
    <row r="310" spans="16:17" x14ac:dyDescent="0.3">
      <c r="P310"/>
      <c r="Q310"/>
    </row>
    <row r="311" spans="16:17" x14ac:dyDescent="0.3">
      <c r="P311"/>
      <c r="Q311"/>
    </row>
    <row r="312" spans="16:17" x14ac:dyDescent="0.3">
      <c r="P312"/>
      <c r="Q312"/>
    </row>
    <row r="313" spans="16:17" x14ac:dyDescent="0.3">
      <c r="P313"/>
      <c r="Q313"/>
    </row>
    <row r="314" spans="16:17" x14ac:dyDescent="0.3">
      <c r="P314"/>
      <c r="Q314"/>
    </row>
    <row r="315" spans="16:17" x14ac:dyDescent="0.3">
      <c r="P315"/>
      <c r="Q315"/>
    </row>
    <row r="316" spans="16:17" x14ac:dyDescent="0.3">
      <c r="P316"/>
      <c r="Q316"/>
    </row>
    <row r="317" spans="16:17" x14ac:dyDescent="0.3">
      <c r="P317"/>
      <c r="Q317"/>
    </row>
    <row r="318" spans="16:17" x14ac:dyDescent="0.3">
      <c r="P318"/>
      <c r="Q318"/>
    </row>
    <row r="319" spans="16:17" x14ac:dyDescent="0.3">
      <c r="P319"/>
      <c r="Q319"/>
    </row>
    <row r="320" spans="16:17" x14ac:dyDescent="0.3">
      <c r="P320"/>
      <c r="Q320"/>
    </row>
    <row r="321" spans="16:17" x14ac:dyDescent="0.3">
      <c r="P321"/>
      <c r="Q321"/>
    </row>
    <row r="322" spans="16:17" x14ac:dyDescent="0.3">
      <c r="P322"/>
      <c r="Q322"/>
    </row>
    <row r="323" spans="16:17" x14ac:dyDescent="0.3">
      <c r="P323"/>
      <c r="Q323"/>
    </row>
    <row r="324" spans="16:17" x14ac:dyDescent="0.3">
      <c r="P324"/>
      <c r="Q324"/>
    </row>
    <row r="325" spans="16:17" x14ac:dyDescent="0.3">
      <c r="P325"/>
      <c r="Q325"/>
    </row>
    <row r="326" spans="16:17" x14ac:dyDescent="0.3">
      <c r="P326"/>
      <c r="Q326"/>
    </row>
    <row r="327" spans="16:17" x14ac:dyDescent="0.3">
      <c r="P327"/>
      <c r="Q327"/>
    </row>
    <row r="328" spans="16:17" x14ac:dyDescent="0.3">
      <c r="P328"/>
      <c r="Q328"/>
    </row>
    <row r="329" spans="16:17" x14ac:dyDescent="0.3">
      <c r="P329"/>
      <c r="Q329"/>
    </row>
    <row r="330" spans="16:17" x14ac:dyDescent="0.3">
      <c r="P330"/>
      <c r="Q330"/>
    </row>
    <row r="331" spans="16:17" x14ac:dyDescent="0.3">
      <c r="P331"/>
      <c r="Q331"/>
    </row>
    <row r="332" spans="16:17" x14ac:dyDescent="0.3">
      <c r="P332"/>
      <c r="Q332"/>
    </row>
    <row r="333" spans="16:17" x14ac:dyDescent="0.3">
      <c r="P333"/>
      <c r="Q333"/>
    </row>
    <row r="334" spans="16:17" x14ac:dyDescent="0.3">
      <c r="P334"/>
      <c r="Q334"/>
    </row>
    <row r="335" spans="16:17" x14ac:dyDescent="0.3">
      <c r="P335"/>
      <c r="Q335"/>
    </row>
    <row r="336" spans="16:17" x14ac:dyDescent="0.3">
      <c r="P336"/>
      <c r="Q336"/>
    </row>
    <row r="337" spans="16:17" x14ac:dyDescent="0.3">
      <c r="P337"/>
      <c r="Q337"/>
    </row>
    <row r="338" spans="16:17" x14ac:dyDescent="0.3">
      <c r="P338"/>
      <c r="Q338"/>
    </row>
    <row r="339" spans="16:17" x14ac:dyDescent="0.3">
      <c r="P339"/>
      <c r="Q339"/>
    </row>
    <row r="340" spans="16:17" x14ac:dyDescent="0.3">
      <c r="P340"/>
      <c r="Q340"/>
    </row>
    <row r="341" spans="16:17" x14ac:dyDescent="0.3">
      <c r="P341"/>
      <c r="Q341"/>
    </row>
    <row r="342" spans="16:17" x14ac:dyDescent="0.3">
      <c r="P342"/>
      <c r="Q342"/>
    </row>
    <row r="343" spans="16:17" x14ac:dyDescent="0.3">
      <c r="P343"/>
      <c r="Q343"/>
    </row>
    <row r="344" spans="16:17" x14ac:dyDescent="0.3">
      <c r="P344"/>
      <c r="Q344"/>
    </row>
    <row r="345" spans="16:17" x14ac:dyDescent="0.3">
      <c r="P345"/>
      <c r="Q345"/>
    </row>
    <row r="346" spans="16:17" x14ac:dyDescent="0.3">
      <c r="P346"/>
      <c r="Q346"/>
    </row>
    <row r="347" spans="16:17" x14ac:dyDescent="0.3">
      <c r="P347"/>
      <c r="Q347"/>
    </row>
    <row r="348" spans="16:17" x14ac:dyDescent="0.3">
      <c r="P348"/>
      <c r="Q348"/>
    </row>
    <row r="349" spans="16:17" x14ac:dyDescent="0.3">
      <c r="P349"/>
      <c r="Q349"/>
    </row>
    <row r="350" spans="16:17" x14ac:dyDescent="0.3">
      <c r="P350"/>
      <c r="Q350"/>
    </row>
    <row r="351" spans="16:17" x14ac:dyDescent="0.3">
      <c r="P351"/>
      <c r="Q351"/>
    </row>
    <row r="352" spans="16:17" x14ac:dyDescent="0.3">
      <c r="P352"/>
      <c r="Q352"/>
    </row>
  </sheetData>
  <mergeCells count="9">
    <mergeCell ref="N23:O23"/>
    <mergeCell ref="N37:O37"/>
    <mergeCell ref="K47:L47"/>
    <mergeCell ref="B1:O1"/>
    <mergeCell ref="B3:G3"/>
    <mergeCell ref="K3:O3"/>
    <mergeCell ref="B12:C12"/>
    <mergeCell ref="K21:K22"/>
    <mergeCell ref="L21:L22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45AB-8BD1-4455-A042-DAF68B28D744}">
  <dimension ref="B1:AN352"/>
  <sheetViews>
    <sheetView zoomScaleNormal="100" workbookViewId="0">
      <selection activeCell="K18" sqref="K18"/>
    </sheetView>
  </sheetViews>
  <sheetFormatPr defaultColWidth="9.33203125" defaultRowHeight="14.4" x14ac:dyDescent="0.3"/>
  <cols>
    <col min="1" max="1" width="1.6640625" customWidth="1"/>
    <col min="2" max="2" width="35.6640625" bestFit="1" customWidth="1"/>
    <col min="3" max="3" width="15.44140625" customWidth="1"/>
    <col min="4" max="5" width="11.33203125" customWidth="1"/>
    <col min="6" max="6" width="32.44140625" bestFit="1" customWidth="1"/>
    <col min="7" max="7" width="10.33203125" customWidth="1"/>
    <col min="8" max="8" width="1.6640625" customWidth="1"/>
    <col min="9" max="10" width="2" customWidth="1"/>
    <col min="11" max="11" width="22.6640625" bestFit="1" customWidth="1"/>
    <col min="12" max="12" width="14.44140625" bestFit="1" customWidth="1"/>
    <col min="13" max="13" width="15.33203125" customWidth="1"/>
    <col min="14" max="14" width="22.6640625" bestFit="1" customWidth="1"/>
    <col min="15" max="15" width="14.44140625" bestFit="1" customWidth="1"/>
    <col min="16" max="16" width="11.44140625" style="1" bestFit="1" customWidth="1"/>
    <col min="17" max="17" width="18.44140625" style="1" bestFit="1" customWidth="1"/>
    <col min="18" max="18" width="18.44140625" hidden="1" customWidth="1"/>
    <col min="19" max="19" width="5.6640625" hidden="1" customWidth="1"/>
    <col min="20" max="39" width="12.33203125" bestFit="1" customWidth="1"/>
    <col min="40" max="40" width="13" bestFit="1" customWidth="1"/>
  </cols>
  <sheetData>
    <row r="1" spans="2:19" ht="28.8" x14ac:dyDescent="0.3"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15" thickBot="1" x14ac:dyDescent="0.35"/>
    <row r="3" spans="2:19" ht="18.600000000000001" thickBot="1" x14ac:dyDescent="0.4">
      <c r="B3" s="45" t="s">
        <v>68</v>
      </c>
      <c r="C3" s="45"/>
      <c r="D3" s="45"/>
      <c r="E3" s="45"/>
      <c r="F3" s="45"/>
      <c r="G3" s="45"/>
      <c r="K3" s="46" t="s">
        <v>65</v>
      </c>
      <c r="L3" s="47"/>
      <c r="M3" s="47"/>
      <c r="N3" s="47"/>
      <c r="O3" s="47"/>
      <c r="Q3"/>
    </row>
    <row r="4" spans="2:19" ht="15" thickBot="1" x14ac:dyDescent="0.35">
      <c r="C4" s="2"/>
      <c r="D4" s="2"/>
      <c r="E4" s="2"/>
      <c r="P4"/>
      <c r="Q4"/>
    </row>
    <row r="5" spans="2:19" ht="16.5" customHeight="1" thickBot="1" x14ac:dyDescent="0.35">
      <c r="B5" s="3" t="s">
        <v>1</v>
      </c>
      <c r="C5" s="4">
        <f>2+13+24+29</f>
        <v>68</v>
      </c>
      <c r="D5" s="5"/>
      <c r="E5" s="5" t="s">
        <v>2</v>
      </c>
      <c r="F5" s="6" t="s">
        <v>3</v>
      </c>
      <c r="G5" s="7" t="s">
        <v>4</v>
      </c>
      <c r="K5" s="6" t="s">
        <v>63</v>
      </c>
      <c r="L5" s="8" t="s">
        <v>5</v>
      </c>
      <c r="N5" s="6" t="s">
        <v>64</v>
      </c>
      <c r="O5" s="6"/>
      <c r="Q5"/>
      <c r="R5" s="9" t="s">
        <v>6</v>
      </c>
      <c r="S5" s="9" t="s">
        <v>7</v>
      </c>
    </row>
    <row r="6" spans="2:19" x14ac:dyDescent="0.3">
      <c r="B6" s="10" t="s">
        <v>8</v>
      </c>
      <c r="C6" s="11">
        <f>1+12</f>
        <v>13</v>
      </c>
      <c r="D6" s="5"/>
      <c r="E6" s="12"/>
      <c r="F6" s="13" t="s">
        <v>9</v>
      </c>
      <c r="G6" s="14">
        <v>1</v>
      </c>
      <c r="K6" s="15" t="s">
        <v>10</v>
      </c>
      <c r="L6" s="16">
        <f>3+2+4+13</f>
        <v>22</v>
      </c>
      <c r="N6" s="17" t="s">
        <v>9</v>
      </c>
      <c r="O6" s="14">
        <f>2</f>
        <v>2</v>
      </c>
      <c r="P6" s="18"/>
      <c r="Q6"/>
      <c r="R6" s="17" t="s">
        <v>11</v>
      </c>
      <c r="S6" s="19">
        <v>3</v>
      </c>
    </row>
    <row r="7" spans="2:19" ht="15" customHeight="1" x14ac:dyDescent="0.3">
      <c r="B7" s="10" t="s">
        <v>12</v>
      </c>
      <c r="C7" s="11">
        <f>1+16+22+13</f>
        <v>52</v>
      </c>
      <c r="D7" s="5"/>
      <c r="E7" s="12"/>
      <c r="F7" s="20" t="s">
        <v>11</v>
      </c>
      <c r="G7" s="14">
        <v>5</v>
      </c>
      <c r="K7" s="15" t="s">
        <v>13</v>
      </c>
      <c r="L7" s="16"/>
      <c r="N7" s="21" t="s">
        <v>11</v>
      </c>
      <c r="O7" s="14">
        <f>2</f>
        <v>2</v>
      </c>
      <c r="P7" s="18"/>
      <c r="Q7"/>
      <c r="R7" s="21" t="s">
        <v>14</v>
      </c>
      <c r="S7" s="22">
        <v>6</v>
      </c>
    </row>
    <row r="8" spans="2:19" x14ac:dyDescent="0.3">
      <c r="B8" s="10" t="s">
        <v>15</v>
      </c>
      <c r="C8" s="23">
        <f>1+0+6</f>
        <v>7</v>
      </c>
      <c r="D8" s="12"/>
      <c r="E8" s="12"/>
      <c r="F8" s="21" t="s">
        <v>16</v>
      </c>
      <c r="G8" s="14">
        <v>0</v>
      </c>
      <c r="K8" s="15" t="s">
        <v>17</v>
      </c>
      <c r="L8" s="24"/>
      <c r="N8" s="21" t="s">
        <v>16</v>
      </c>
      <c r="O8" s="14">
        <v>0</v>
      </c>
      <c r="P8" s="18"/>
      <c r="Q8"/>
      <c r="R8" s="21" t="s">
        <v>18</v>
      </c>
      <c r="S8" s="22">
        <v>6</v>
      </c>
    </row>
    <row r="9" spans="2:19" x14ac:dyDescent="0.3">
      <c r="B9" s="10" t="s">
        <v>19</v>
      </c>
      <c r="C9" s="23">
        <f>3+2+5</f>
        <v>10</v>
      </c>
      <c r="D9" s="12"/>
      <c r="E9" s="12"/>
      <c r="F9" s="21" t="s">
        <v>14</v>
      </c>
      <c r="G9" s="14">
        <v>0</v>
      </c>
      <c r="K9" s="15" t="s">
        <v>20</v>
      </c>
      <c r="L9" s="24"/>
      <c r="M9" s="18"/>
      <c r="N9" s="21" t="s">
        <v>14</v>
      </c>
      <c r="O9" s="14">
        <v>0</v>
      </c>
      <c r="P9" s="18"/>
      <c r="Q9"/>
      <c r="R9" s="21" t="s">
        <v>21</v>
      </c>
      <c r="S9" s="22">
        <v>1</v>
      </c>
    </row>
    <row r="10" spans="2:19" x14ac:dyDescent="0.3">
      <c r="B10" s="10" t="s">
        <v>22</v>
      </c>
      <c r="C10" s="23">
        <f>3+2+4+13</f>
        <v>22</v>
      </c>
      <c r="D10" s="12"/>
      <c r="E10" s="12"/>
      <c r="F10" s="21" t="s">
        <v>27</v>
      </c>
      <c r="G10" s="14">
        <v>4</v>
      </c>
      <c r="K10" s="15" t="s">
        <v>24</v>
      </c>
      <c r="L10" s="24"/>
      <c r="N10" s="21" t="s">
        <v>27</v>
      </c>
      <c r="O10" s="14">
        <f>2</f>
        <v>2</v>
      </c>
      <c r="P10" s="18"/>
      <c r="R10" s="21" t="s">
        <v>25</v>
      </c>
      <c r="S10" s="22">
        <v>6</v>
      </c>
    </row>
    <row r="11" spans="2:19" ht="15" thickBot="1" x14ac:dyDescent="0.35">
      <c r="B11" s="25" t="s">
        <v>26</v>
      </c>
      <c r="C11" s="26">
        <f>3+2+3+8</f>
        <v>16</v>
      </c>
      <c r="D11" s="12"/>
      <c r="E11" s="12"/>
      <c r="F11" s="21" t="s">
        <v>30</v>
      </c>
      <c r="G11" s="14">
        <v>2</v>
      </c>
      <c r="K11" s="15" t="s">
        <v>28</v>
      </c>
      <c r="L11" s="24"/>
      <c r="N11" s="21" t="s">
        <v>30</v>
      </c>
      <c r="O11" s="14">
        <f>1</f>
        <v>1</v>
      </c>
      <c r="P11" s="18"/>
      <c r="R11" s="21" t="s">
        <v>29</v>
      </c>
      <c r="S11" s="22">
        <v>7</v>
      </c>
    </row>
    <row r="12" spans="2:19" ht="15" thickBot="1" x14ac:dyDescent="0.35">
      <c r="B12" s="48"/>
      <c r="C12" s="49"/>
      <c r="D12" s="12"/>
      <c r="F12" s="21" t="s">
        <v>59</v>
      </c>
      <c r="G12" s="14">
        <v>0</v>
      </c>
      <c r="K12" s="15" t="s">
        <v>31</v>
      </c>
      <c r="L12" s="24"/>
      <c r="N12" s="21" t="s">
        <v>59</v>
      </c>
      <c r="O12" s="14">
        <f>1</f>
        <v>1</v>
      </c>
      <c r="P12" s="18"/>
      <c r="R12" s="21" t="s">
        <v>32</v>
      </c>
      <c r="S12" s="22">
        <v>3</v>
      </c>
    </row>
    <row r="13" spans="2:19" ht="15" thickBot="1" x14ac:dyDescent="0.35">
      <c r="B13" s="27" t="s">
        <v>3</v>
      </c>
      <c r="C13" s="8" t="s">
        <v>7</v>
      </c>
      <c r="D13" s="12"/>
      <c r="F13" s="21" t="s">
        <v>58</v>
      </c>
      <c r="G13" s="14">
        <v>0</v>
      </c>
      <c r="K13" s="15" t="s">
        <v>34</v>
      </c>
      <c r="L13" s="24"/>
      <c r="N13" s="21" t="s">
        <v>58</v>
      </c>
      <c r="O13" s="14">
        <v>0</v>
      </c>
      <c r="P13" s="18"/>
      <c r="R13" s="21" t="s">
        <v>35</v>
      </c>
      <c r="S13" s="22">
        <v>1</v>
      </c>
    </row>
    <row r="14" spans="2:19" ht="15" thickBot="1" x14ac:dyDescent="0.35">
      <c r="B14" s="13" t="s">
        <v>9</v>
      </c>
      <c r="C14" s="28">
        <v>0</v>
      </c>
      <c r="F14" s="21" t="s">
        <v>33</v>
      </c>
      <c r="G14" s="14">
        <v>1</v>
      </c>
      <c r="K14" s="15" t="s">
        <v>37</v>
      </c>
      <c r="L14" s="24"/>
      <c r="N14" s="21" t="s">
        <v>38</v>
      </c>
      <c r="O14" s="14">
        <f>1+1+4</f>
        <v>6</v>
      </c>
      <c r="P14" s="18"/>
      <c r="R14" s="30" t="s">
        <v>39</v>
      </c>
      <c r="S14" s="22">
        <v>1</v>
      </c>
    </row>
    <row r="15" spans="2:19" ht="15" thickBot="1" x14ac:dyDescent="0.35">
      <c r="B15" s="20" t="s">
        <v>11</v>
      </c>
      <c r="C15" s="14">
        <v>2</v>
      </c>
      <c r="F15" s="21" t="s">
        <v>36</v>
      </c>
      <c r="G15" s="29">
        <v>6</v>
      </c>
      <c r="K15" s="15" t="s">
        <v>41</v>
      </c>
      <c r="L15" s="24"/>
      <c r="N15" s="21" t="s">
        <v>42</v>
      </c>
      <c r="O15" s="14">
        <f>2+1+1</f>
        <v>4</v>
      </c>
      <c r="P15" s="18"/>
      <c r="R15" s="32" t="s">
        <v>43</v>
      </c>
      <c r="S15" s="9">
        <v>34</v>
      </c>
    </row>
    <row r="16" spans="2:19" ht="15" customHeight="1" thickBot="1" x14ac:dyDescent="0.35">
      <c r="B16" s="20" t="s">
        <v>16</v>
      </c>
      <c r="C16" s="14">
        <v>0</v>
      </c>
      <c r="F16" s="31" t="s">
        <v>40</v>
      </c>
      <c r="G16" s="7">
        <f>SUM(G6:G15)</f>
        <v>19</v>
      </c>
      <c r="K16" s="15" t="s">
        <v>44</v>
      </c>
      <c r="L16" s="24"/>
      <c r="N16" s="33" t="s">
        <v>45</v>
      </c>
      <c r="O16" s="14">
        <f>1</f>
        <v>1</v>
      </c>
    </row>
    <row r="17" spans="2:38" ht="15" customHeight="1" thickBot="1" x14ac:dyDescent="0.35">
      <c r="B17" s="20" t="s">
        <v>14</v>
      </c>
      <c r="C17" s="14">
        <v>0</v>
      </c>
      <c r="K17" s="15" t="s">
        <v>46</v>
      </c>
      <c r="L17" s="24"/>
      <c r="N17" s="21" t="s">
        <v>21</v>
      </c>
      <c r="O17" s="14">
        <v>0</v>
      </c>
    </row>
    <row r="18" spans="2:38" ht="15" thickBot="1" x14ac:dyDescent="0.35">
      <c r="B18" s="20" t="s">
        <v>23</v>
      </c>
      <c r="C18" s="14">
        <v>0</v>
      </c>
      <c r="K18" s="7" t="s">
        <v>63</v>
      </c>
      <c r="L18" s="34">
        <f>SUM(L6:L17)</f>
        <v>22</v>
      </c>
      <c r="N18" s="21" t="s">
        <v>47</v>
      </c>
      <c r="O18" s="14">
        <f>3</f>
        <v>3</v>
      </c>
    </row>
    <row r="19" spans="2:38" ht="15" thickBot="1" x14ac:dyDescent="0.35">
      <c r="B19" s="21" t="s">
        <v>27</v>
      </c>
      <c r="C19" s="14">
        <v>2</v>
      </c>
      <c r="N19" s="7" t="s">
        <v>48</v>
      </c>
      <c r="O19" s="7">
        <f>SUM(O6:O18)</f>
        <v>22</v>
      </c>
    </row>
    <row r="20" spans="2:38" ht="15" customHeight="1" thickBot="1" x14ac:dyDescent="0.35">
      <c r="B20" s="21" t="s">
        <v>30</v>
      </c>
      <c r="C20" s="14">
        <v>1</v>
      </c>
      <c r="N20" s="35"/>
      <c r="O20" s="35"/>
    </row>
    <row r="21" spans="2:38" ht="15" customHeight="1" x14ac:dyDescent="0.3">
      <c r="B21" s="20" t="s">
        <v>59</v>
      </c>
      <c r="C21" s="14">
        <v>0</v>
      </c>
      <c r="K21" s="50" t="s">
        <v>49</v>
      </c>
      <c r="L21" s="52">
        <f>L18/1</f>
        <v>22</v>
      </c>
      <c r="N21" s="35"/>
      <c r="O21" s="35"/>
    </row>
    <row r="22" spans="2:38" s="1" customFormat="1" ht="15" customHeight="1" thickBot="1" x14ac:dyDescent="0.35">
      <c r="B22" s="20" t="s">
        <v>58</v>
      </c>
      <c r="C22" s="14">
        <v>0</v>
      </c>
      <c r="D22"/>
      <c r="F22" s="36"/>
      <c r="G22"/>
      <c r="K22" s="51"/>
      <c r="L22" s="53"/>
      <c r="N22"/>
      <c r="O22"/>
      <c r="R22"/>
      <c r="S22"/>
    </row>
    <row r="23" spans="2:38" s="1" customFormat="1" ht="15" customHeight="1" thickBot="1" x14ac:dyDescent="0.35">
      <c r="B23" s="20" t="s">
        <v>25</v>
      </c>
      <c r="C23" s="14">
        <v>4</v>
      </c>
      <c r="D23"/>
      <c r="F23"/>
      <c r="G23"/>
      <c r="N23" s="40" t="s">
        <v>61</v>
      </c>
      <c r="O23" s="41"/>
      <c r="R23"/>
      <c r="S23"/>
    </row>
    <row r="24" spans="2:38" s="1" customFormat="1" ht="15" customHeight="1" x14ac:dyDescent="0.3">
      <c r="B24" s="20" t="s">
        <v>42</v>
      </c>
      <c r="C24" s="14">
        <v>1</v>
      </c>
      <c r="F24"/>
      <c r="G24"/>
      <c r="N24" s="17" t="s">
        <v>9</v>
      </c>
      <c r="O24" s="14">
        <f>3+2+1</f>
        <v>6</v>
      </c>
      <c r="R24"/>
      <c r="S24"/>
    </row>
    <row r="25" spans="2:38" s="1" customFormat="1" ht="15" customHeight="1" x14ac:dyDescent="0.3">
      <c r="B25" s="20" t="s">
        <v>50</v>
      </c>
      <c r="C25" s="14">
        <v>0</v>
      </c>
      <c r="F25"/>
      <c r="G25"/>
      <c r="N25" s="21" t="s">
        <v>11</v>
      </c>
      <c r="O25" s="14">
        <f>2+4+5</f>
        <v>11</v>
      </c>
      <c r="R25"/>
      <c r="S25"/>
    </row>
    <row r="26" spans="2:38" s="1" customFormat="1" ht="15" customHeight="1" x14ac:dyDescent="0.3">
      <c r="B26" s="20" t="s">
        <v>21</v>
      </c>
      <c r="C26" s="14">
        <v>0</v>
      </c>
      <c r="G26"/>
      <c r="N26" s="21" t="s">
        <v>16</v>
      </c>
      <c r="O26" s="14">
        <f>4+9+0</f>
        <v>13</v>
      </c>
      <c r="P26" s="39"/>
    </row>
    <row r="27" spans="2:38" s="1" customFormat="1" x14ac:dyDescent="0.3">
      <c r="B27" s="21" t="s">
        <v>57</v>
      </c>
      <c r="C27" s="14">
        <v>0</v>
      </c>
      <c r="G27"/>
      <c r="N27" s="21" t="s">
        <v>14</v>
      </c>
      <c r="O27" s="14">
        <f>1+0+0</f>
        <v>1</v>
      </c>
      <c r="Q27"/>
    </row>
    <row r="28" spans="2:38" s="1" customFormat="1" x14ac:dyDescent="0.3">
      <c r="B28" s="21" t="s">
        <v>70</v>
      </c>
      <c r="C28" s="14">
        <v>1</v>
      </c>
      <c r="E28" s="37"/>
      <c r="F28"/>
      <c r="G28"/>
      <c r="N28" s="21" t="s">
        <v>27</v>
      </c>
      <c r="O28" s="14">
        <f>1+3+3+4</f>
        <v>11</v>
      </c>
      <c r="Q28"/>
    </row>
    <row r="29" spans="2:38" s="1" customFormat="1" x14ac:dyDescent="0.3">
      <c r="B29" s="21" t="s">
        <v>69</v>
      </c>
      <c r="C29" s="14">
        <v>2</v>
      </c>
      <c r="F29"/>
      <c r="G29"/>
      <c r="N29" s="21" t="s">
        <v>30</v>
      </c>
      <c r="O29" s="14">
        <f>4+3+2</f>
        <v>9</v>
      </c>
      <c r="Q29"/>
    </row>
    <row r="30" spans="2:38" s="1" customFormat="1" x14ac:dyDescent="0.3">
      <c r="B30" s="21" t="s">
        <v>53</v>
      </c>
      <c r="C30" s="14">
        <v>0</v>
      </c>
      <c r="F30"/>
      <c r="G30"/>
      <c r="N30" s="21" t="s">
        <v>59</v>
      </c>
      <c r="O30" s="14">
        <f>1+0</f>
        <v>1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2:38" s="1" customFormat="1" x14ac:dyDescent="0.3">
      <c r="B31" s="21" t="s">
        <v>54</v>
      </c>
      <c r="C31" s="14">
        <v>0</v>
      </c>
      <c r="N31" s="21" t="s">
        <v>58</v>
      </c>
      <c r="O31" s="14">
        <v>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2:38" s="1" customFormat="1" ht="15" thickBot="1" x14ac:dyDescent="0.35">
      <c r="B32" s="30" t="s">
        <v>55</v>
      </c>
      <c r="C32" s="14">
        <v>0</v>
      </c>
      <c r="N32" s="21" t="s">
        <v>33</v>
      </c>
      <c r="O32" s="14">
        <f>0+1</f>
        <v>1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2:40" s="1" customFormat="1" ht="15" thickBot="1" x14ac:dyDescent="0.35">
      <c r="B33" s="38" t="s">
        <v>56</v>
      </c>
      <c r="C33" s="7">
        <f>SUM(C14:C32)</f>
        <v>13</v>
      </c>
      <c r="N33" s="21" t="s">
        <v>47</v>
      </c>
      <c r="O33" s="14">
        <f>0+6</f>
        <v>6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2:40" s="1" customFormat="1" ht="15" thickBot="1" x14ac:dyDescent="0.35">
      <c r="N34" s="7" t="s">
        <v>48</v>
      </c>
      <c r="O34" s="7">
        <f>SUM(O24:O33)</f>
        <v>59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2:40" s="1" customFormat="1" x14ac:dyDescent="0.3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2:40" s="1" customFormat="1" ht="15" thickBot="1" x14ac:dyDescent="0.3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s="1" customFormat="1" ht="15" thickBot="1" x14ac:dyDescent="0.35">
      <c r="K37"/>
      <c r="L37"/>
      <c r="N37" s="40" t="s">
        <v>62</v>
      </c>
      <c r="O37" s="4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2:40" s="1" customFormat="1" x14ac:dyDescent="0.3">
      <c r="K38"/>
      <c r="L38"/>
      <c r="N38" s="17" t="s">
        <v>9</v>
      </c>
      <c r="O38" s="14">
        <f>5+1+6</f>
        <v>12</v>
      </c>
      <c r="R38"/>
      <c r="S38"/>
    </row>
    <row r="39" spans="2:40" x14ac:dyDescent="0.3">
      <c r="B39" s="1"/>
      <c r="C39" s="1"/>
      <c r="D39" s="1"/>
      <c r="F39" s="1"/>
      <c r="G39" s="1"/>
      <c r="N39" s="21" t="s">
        <v>11</v>
      </c>
      <c r="O39" s="14">
        <f>1+6+6</f>
        <v>13</v>
      </c>
    </row>
    <row r="40" spans="2:40" s="1" customFormat="1" x14ac:dyDescent="0.3">
      <c r="K40"/>
      <c r="L40"/>
      <c r="N40" s="21" t="s">
        <v>16</v>
      </c>
      <c r="O40" s="14">
        <f>4+4+5</f>
        <v>13</v>
      </c>
      <c r="P40" s="39"/>
      <c r="R40"/>
      <c r="S40"/>
    </row>
    <row r="41" spans="2:40" x14ac:dyDescent="0.3">
      <c r="B41" s="1"/>
      <c r="C41" s="1"/>
      <c r="F41" s="1"/>
      <c r="G41" s="1"/>
      <c r="N41" s="21" t="s">
        <v>14</v>
      </c>
      <c r="O41" s="14">
        <f>1</f>
        <v>1</v>
      </c>
    </row>
    <row r="42" spans="2:40" s="1" customFormat="1" x14ac:dyDescent="0.3">
      <c r="F42"/>
      <c r="G42"/>
      <c r="K42"/>
      <c r="L42"/>
      <c r="N42" s="21" t="s">
        <v>27</v>
      </c>
      <c r="O42" s="14">
        <f>4+5</f>
        <v>9</v>
      </c>
      <c r="R42"/>
      <c r="S42"/>
    </row>
    <row r="43" spans="2:40" x14ac:dyDescent="0.3">
      <c r="B43" s="1"/>
      <c r="C43" s="1"/>
      <c r="N43" s="21" t="s">
        <v>30</v>
      </c>
      <c r="O43" s="14">
        <f>1+3+5+4</f>
        <v>13</v>
      </c>
      <c r="Q43"/>
    </row>
    <row r="44" spans="2:40" x14ac:dyDescent="0.3">
      <c r="C44" s="1"/>
      <c r="D44" s="1"/>
      <c r="N44" s="21" t="s">
        <v>59</v>
      </c>
      <c r="O44" s="14">
        <f>1+3+0</f>
        <v>4</v>
      </c>
      <c r="Q44"/>
    </row>
    <row r="45" spans="2:40" x14ac:dyDescent="0.3">
      <c r="N45" s="21" t="s">
        <v>58</v>
      </c>
      <c r="O45" s="14">
        <f>1+0</f>
        <v>1</v>
      </c>
      <c r="Q45"/>
    </row>
    <row r="46" spans="2:40" ht="15" customHeight="1" x14ac:dyDescent="0.3">
      <c r="N46" s="21" t="s">
        <v>33</v>
      </c>
      <c r="O46" s="14">
        <f>0+3</f>
        <v>3</v>
      </c>
      <c r="Q46"/>
    </row>
    <row r="47" spans="2:40" ht="15" thickBot="1" x14ac:dyDescent="0.35">
      <c r="K47" s="42"/>
      <c r="L47" s="42"/>
      <c r="N47" s="21" t="s">
        <v>47</v>
      </c>
      <c r="O47" s="14">
        <f>1+11</f>
        <v>12</v>
      </c>
      <c r="Q47"/>
    </row>
    <row r="48" spans="2:40" ht="15" thickBot="1" x14ac:dyDescent="0.35">
      <c r="N48" s="7" t="s">
        <v>48</v>
      </c>
      <c r="O48" s="7">
        <f>SUM(O38:O47)</f>
        <v>81</v>
      </c>
      <c r="P48"/>
      <c r="Q48"/>
    </row>
    <row r="49" spans="16:17" x14ac:dyDescent="0.3">
      <c r="P49"/>
      <c r="Q49"/>
    </row>
    <row r="50" spans="16:17" x14ac:dyDescent="0.3">
      <c r="P50"/>
      <c r="Q50"/>
    </row>
    <row r="51" spans="16:17" x14ac:dyDescent="0.3">
      <c r="P51"/>
      <c r="Q51"/>
    </row>
    <row r="52" spans="16:17" x14ac:dyDescent="0.3">
      <c r="P52"/>
      <c r="Q52"/>
    </row>
    <row r="53" spans="16:17" x14ac:dyDescent="0.3">
      <c r="P53"/>
      <c r="Q53"/>
    </row>
    <row r="54" spans="16:17" x14ac:dyDescent="0.3">
      <c r="P54"/>
      <c r="Q54"/>
    </row>
    <row r="55" spans="16:17" x14ac:dyDescent="0.3">
      <c r="P55"/>
      <c r="Q55"/>
    </row>
    <row r="56" spans="16:17" x14ac:dyDescent="0.3">
      <c r="P56"/>
      <c r="Q56"/>
    </row>
    <row r="57" spans="16:17" x14ac:dyDescent="0.3">
      <c r="P57"/>
      <c r="Q57"/>
    </row>
    <row r="58" spans="16:17" x14ac:dyDescent="0.3">
      <c r="P58"/>
      <c r="Q58"/>
    </row>
    <row r="59" spans="16:17" x14ac:dyDescent="0.3">
      <c r="P59"/>
      <c r="Q59"/>
    </row>
    <row r="60" spans="16:17" x14ac:dyDescent="0.3">
      <c r="P60"/>
      <c r="Q60"/>
    </row>
    <row r="61" spans="16:17" x14ac:dyDescent="0.3">
      <c r="P61"/>
      <c r="Q61"/>
    </row>
    <row r="62" spans="16:17" x14ac:dyDescent="0.3">
      <c r="P62"/>
      <c r="Q62"/>
    </row>
    <row r="63" spans="16:17" x14ac:dyDescent="0.3">
      <c r="P63"/>
      <c r="Q63"/>
    </row>
    <row r="64" spans="16:17" x14ac:dyDescent="0.3">
      <c r="P64"/>
      <c r="Q64"/>
    </row>
    <row r="65" spans="16:17" x14ac:dyDescent="0.3">
      <c r="P65"/>
      <c r="Q65"/>
    </row>
    <row r="66" spans="16:17" x14ac:dyDescent="0.3">
      <c r="P66"/>
      <c r="Q66"/>
    </row>
    <row r="67" spans="16:17" x14ac:dyDescent="0.3">
      <c r="P67"/>
      <c r="Q67"/>
    </row>
    <row r="68" spans="16:17" x14ac:dyDescent="0.3">
      <c r="P68"/>
      <c r="Q68"/>
    </row>
    <row r="69" spans="16:17" x14ac:dyDescent="0.3">
      <c r="P69"/>
      <c r="Q69"/>
    </row>
    <row r="70" spans="16:17" x14ac:dyDescent="0.3">
      <c r="P70"/>
      <c r="Q70"/>
    </row>
    <row r="71" spans="16:17" x14ac:dyDescent="0.3">
      <c r="P71"/>
      <c r="Q71"/>
    </row>
    <row r="72" spans="16:17" x14ac:dyDescent="0.3">
      <c r="P72"/>
      <c r="Q72"/>
    </row>
    <row r="73" spans="16:17" x14ac:dyDescent="0.3">
      <c r="P73"/>
      <c r="Q73"/>
    </row>
    <row r="74" spans="16:17" x14ac:dyDescent="0.3">
      <c r="P74"/>
      <c r="Q74"/>
    </row>
    <row r="75" spans="16:17" x14ac:dyDescent="0.3">
      <c r="P75"/>
      <c r="Q75"/>
    </row>
    <row r="76" spans="16:17" x14ac:dyDescent="0.3">
      <c r="P76"/>
      <c r="Q76"/>
    </row>
    <row r="77" spans="16:17" x14ac:dyDescent="0.3">
      <c r="P77"/>
      <c r="Q77"/>
    </row>
    <row r="78" spans="16:17" x14ac:dyDescent="0.3">
      <c r="P78"/>
      <c r="Q78"/>
    </row>
    <row r="79" spans="16:17" x14ac:dyDescent="0.3">
      <c r="P79"/>
      <c r="Q79"/>
    </row>
    <row r="80" spans="16:17" x14ac:dyDescent="0.3">
      <c r="P80"/>
      <c r="Q80"/>
    </row>
    <row r="81" spans="16:17" x14ac:dyDescent="0.3">
      <c r="P81"/>
      <c r="Q81"/>
    </row>
    <row r="82" spans="16:17" x14ac:dyDescent="0.3">
      <c r="P82"/>
      <c r="Q82"/>
    </row>
    <row r="83" spans="16:17" x14ac:dyDescent="0.3">
      <c r="P83"/>
      <c r="Q83"/>
    </row>
    <row r="84" spans="16:17" x14ac:dyDescent="0.3">
      <c r="P84"/>
      <c r="Q84"/>
    </row>
    <row r="85" spans="16:17" x14ac:dyDescent="0.3">
      <c r="P85"/>
      <c r="Q85"/>
    </row>
    <row r="86" spans="16:17" x14ac:dyDescent="0.3">
      <c r="P86"/>
      <c r="Q86"/>
    </row>
    <row r="87" spans="16:17" x14ac:dyDescent="0.3">
      <c r="P87"/>
      <c r="Q87"/>
    </row>
    <row r="88" spans="16:17" x14ac:dyDescent="0.3">
      <c r="P88"/>
      <c r="Q88"/>
    </row>
    <row r="89" spans="16:17" x14ac:dyDescent="0.3">
      <c r="P89"/>
      <c r="Q89"/>
    </row>
    <row r="90" spans="16:17" x14ac:dyDescent="0.3">
      <c r="P90"/>
      <c r="Q90"/>
    </row>
    <row r="91" spans="16:17" x14ac:dyDescent="0.3">
      <c r="P91"/>
      <c r="Q91"/>
    </row>
    <row r="92" spans="16:17" x14ac:dyDescent="0.3">
      <c r="P92"/>
      <c r="Q92"/>
    </row>
    <row r="93" spans="16:17" x14ac:dyDescent="0.3">
      <c r="P93"/>
      <c r="Q93"/>
    </row>
    <row r="94" spans="16:17" x14ac:dyDescent="0.3">
      <c r="P94"/>
      <c r="Q94"/>
    </row>
    <row r="95" spans="16:17" x14ac:dyDescent="0.3">
      <c r="P95"/>
      <c r="Q95"/>
    </row>
    <row r="96" spans="16:17" x14ac:dyDescent="0.3">
      <c r="P96"/>
      <c r="Q96"/>
    </row>
    <row r="97" spans="16:17" x14ac:dyDescent="0.3">
      <c r="P97"/>
      <c r="Q97"/>
    </row>
    <row r="98" spans="16:17" x14ac:dyDescent="0.3">
      <c r="P98"/>
      <c r="Q98"/>
    </row>
    <row r="99" spans="16:17" x14ac:dyDescent="0.3">
      <c r="P99"/>
      <c r="Q99"/>
    </row>
    <row r="100" spans="16:17" x14ac:dyDescent="0.3">
      <c r="P100"/>
      <c r="Q100"/>
    </row>
    <row r="101" spans="16:17" x14ac:dyDescent="0.3">
      <c r="P101"/>
      <c r="Q101"/>
    </row>
    <row r="102" spans="16:17" x14ac:dyDescent="0.3">
      <c r="P102"/>
      <c r="Q102"/>
    </row>
    <row r="103" spans="16:17" x14ac:dyDescent="0.3">
      <c r="P103"/>
      <c r="Q103"/>
    </row>
    <row r="104" spans="16:17" x14ac:dyDescent="0.3">
      <c r="P104"/>
      <c r="Q104"/>
    </row>
    <row r="105" spans="16:17" x14ac:dyDescent="0.3">
      <c r="P105"/>
      <c r="Q105"/>
    </row>
    <row r="106" spans="16:17" x14ac:dyDescent="0.3">
      <c r="P106"/>
      <c r="Q106"/>
    </row>
    <row r="107" spans="16:17" x14ac:dyDescent="0.3">
      <c r="P107"/>
      <c r="Q107"/>
    </row>
    <row r="108" spans="16:17" x14ac:dyDescent="0.3">
      <c r="P108"/>
      <c r="Q108"/>
    </row>
    <row r="109" spans="16:17" x14ac:dyDescent="0.3">
      <c r="P109"/>
      <c r="Q109"/>
    </row>
    <row r="110" spans="16:17" x14ac:dyDescent="0.3">
      <c r="P110"/>
      <c r="Q110"/>
    </row>
    <row r="111" spans="16:17" x14ac:dyDescent="0.3">
      <c r="P111"/>
      <c r="Q111"/>
    </row>
    <row r="112" spans="16:17" x14ac:dyDescent="0.3">
      <c r="P112"/>
      <c r="Q112"/>
    </row>
    <row r="113" spans="16:17" x14ac:dyDescent="0.3">
      <c r="P113"/>
      <c r="Q113"/>
    </row>
    <row r="114" spans="16:17" x14ac:dyDescent="0.3">
      <c r="P114"/>
      <c r="Q114"/>
    </row>
    <row r="115" spans="16:17" x14ac:dyDescent="0.3">
      <c r="P115"/>
      <c r="Q115"/>
    </row>
    <row r="116" spans="16:17" x14ac:dyDescent="0.3">
      <c r="P116"/>
      <c r="Q116"/>
    </row>
    <row r="117" spans="16:17" x14ac:dyDescent="0.3">
      <c r="P117"/>
      <c r="Q117"/>
    </row>
    <row r="118" spans="16:17" x14ac:dyDescent="0.3">
      <c r="P118"/>
      <c r="Q118"/>
    </row>
    <row r="119" spans="16:17" x14ac:dyDescent="0.3">
      <c r="P119"/>
      <c r="Q119"/>
    </row>
    <row r="120" spans="16:17" x14ac:dyDescent="0.3">
      <c r="P120"/>
      <c r="Q120"/>
    </row>
    <row r="121" spans="16:17" x14ac:dyDescent="0.3">
      <c r="P121"/>
      <c r="Q121"/>
    </row>
    <row r="122" spans="16:17" x14ac:dyDescent="0.3">
      <c r="P122"/>
      <c r="Q122"/>
    </row>
    <row r="123" spans="16:17" x14ac:dyDescent="0.3">
      <c r="P123"/>
      <c r="Q123"/>
    </row>
    <row r="124" spans="16:17" x14ac:dyDescent="0.3">
      <c r="P124"/>
      <c r="Q124"/>
    </row>
    <row r="125" spans="16:17" x14ac:dyDescent="0.3">
      <c r="P125"/>
      <c r="Q125"/>
    </row>
    <row r="126" spans="16:17" x14ac:dyDescent="0.3">
      <c r="P126"/>
      <c r="Q126"/>
    </row>
    <row r="127" spans="16:17" x14ac:dyDescent="0.3">
      <c r="P127"/>
      <c r="Q127"/>
    </row>
    <row r="128" spans="16:17" x14ac:dyDescent="0.3">
      <c r="P128"/>
      <c r="Q128"/>
    </row>
    <row r="129" spans="16:17" x14ac:dyDescent="0.3">
      <c r="P129"/>
      <c r="Q129"/>
    </row>
    <row r="130" spans="16:17" x14ac:dyDescent="0.3">
      <c r="P130"/>
      <c r="Q130"/>
    </row>
    <row r="131" spans="16:17" x14ac:dyDescent="0.3">
      <c r="P131"/>
      <c r="Q131"/>
    </row>
    <row r="132" spans="16:17" x14ac:dyDescent="0.3">
      <c r="P132"/>
      <c r="Q132"/>
    </row>
    <row r="133" spans="16:17" x14ac:dyDescent="0.3">
      <c r="P133"/>
      <c r="Q133"/>
    </row>
    <row r="134" spans="16:17" x14ac:dyDescent="0.3">
      <c r="P134"/>
      <c r="Q134"/>
    </row>
    <row r="135" spans="16:17" x14ac:dyDescent="0.3">
      <c r="P135"/>
      <c r="Q135"/>
    </row>
    <row r="136" spans="16:17" x14ac:dyDescent="0.3">
      <c r="P136"/>
      <c r="Q136"/>
    </row>
    <row r="137" spans="16:17" x14ac:dyDescent="0.3">
      <c r="P137"/>
      <c r="Q137"/>
    </row>
    <row r="138" spans="16:17" x14ac:dyDescent="0.3">
      <c r="P138"/>
      <c r="Q138"/>
    </row>
    <row r="139" spans="16:17" x14ac:dyDescent="0.3">
      <c r="P139"/>
      <c r="Q139"/>
    </row>
    <row r="140" spans="16:17" x14ac:dyDescent="0.3">
      <c r="P140"/>
      <c r="Q140"/>
    </row>
    <row r="141" spans="16:17" x14ac:dyDescent="0.3">
      <c r="P141"/>
      <c r="Q141"/>
    </row>
    <row r="142" spans="16:17" x14ac:dyDescent="0.3">
      <c r="P142"/>
      <c r="Q142"/>
    </row>
    <row r="143" spans="16:17" x14ac:dyDescent="0.3">
      <c r="P143"/>
      <c r="Q143"/>
    </row>
    <row r="144" spans="16:17" x14ac:dyDescent="0.3">
      <c r="P144"/>
      <c r="Q144"/>
    </row>
    <row r="145" spans="16:17" x14ac:dyDescent="0.3">
      <c r="P145"/>
      <c r="Q145"/>
    </row>
    <row r="146" spans="16:17" x14ac:dyDescent="0.3">
      <c r="P146"/>
      <c r="Q146"/>
    </row>
    <row r="147" spans="16:17" x14ac:dyDescent="0.3">
      <c r="P147"/>
      <c r="Q147"/>
    </row>
    <row r="148" spans="16:17" x14ac:dyDescent="0.3">
      <c r="P148"/>
      <c r="Q148"/>
    </row>
    <row r="149" spans="16:17" x14ac:dyDescent="0.3">
      <c r="P149"/>
      <c r="Q149"/>
    </row>
    <row r="150" spans="16:17" x14ac:dyDescent="0.3">
      <c r="P150"/>
      <c r="Q150"/>
    </row>
    <row r="151" spans="16:17" x14ac:dyDescent="0.3">
      <c r="P151"/>
      <c r="Q151"/>
    </row>
    <row r="152" spans="16:17" x14ac:dyDescent="0.3">
      <c r="P152"/>
      <c r="Q152"/>
    </row>
    <row r="153" spans="16:17" x14ac:dyDescent="0.3">
      <c r="P153"/>
      <c r="Q153"/>
    </row>
    <row r="154" spans="16:17" x14ac:dyDescent="0.3">
      <c r="P154"/>
      <c r="Q154"/>
    </row>
    <row r="155" spans="16:17" x14ac:dyDescent="0.3">
      <c r="P155"/>
      <c r="Q155"/>
    </row>
    <row r="156" spans="16:17" x14ac:dyDescent="0.3">
      <c r="P156"/>
      <c r="Q156"/>
    </row>
    <row r="157" spans="16:17" x14ac:dyDescent="0.3">
      <c r="P157"/>
      <c r="Q157"/>
    </row>
    <row r="158" spans="16:17" x14ac:dyDescent="0.3">
      <c r="P158"/>
      <c r="Q158"/>
    </row>
    <row r="159" spans="16:17" x14ac:dyDescent="0.3">
      <c r="P159"/>
      <c r="Q159"/>
    </row>
    <row r="160" spans="16:17" x14ac:dyDescent="0.3">
      <c r="P160"/>
      <c r="Q160"/>
    </row>
    <row r="161" spans="16:17" x14ac:dyDescent="0.3">
      <c r="P161"/>
      <c r="Q161"/>
    </row>
    <row r="162" spans="16:17" x14ac:dyDescent="0.3">
      <c r="P162"/>
      <c r="Q162"/>
    </row>
    <row r="163" spans="16:17" x14ac:dyDescent="0.3">
      <c r="P163"/>
      <c r="Q163"/>
    </row>
    <row r="164" spans="16:17" x14ac:dyDescent="0.3">
      <c r="P164"/>
      <c r="Q164"/>
    </row>
    <row r="165" spans="16:17" x14ac:dyDescent="0.3">
      <c r="P165"/>
      <c r="Q165"/>
    </row>
    <row r="166" spans="16:17" x14ac:dyDescent="0.3">
      <c r="P166"/>
      <c r="Q166"/>
    </row>
    <row r="167" spans="16:17" x14ac:dyDescent="0.3">
      <c r="P167"/>
      <c r="Q167"/>
    </row>
    <row r="168" spans="16:17" x14ac:dyDescent="0.3">
      <c r="P168"/>
      <c r="Q168"/>
    </row>
    <row r="169" spans="16:17" x14ac:dyDescent="0.3">
      <c r="P169"/>
      <c r="Q169"/>
    </row>
    <row r="170" spans="16:17" x14ac:dyDescent="0.3">
      <c r="P170"/>
      <c r="Q170"/>
    </row>
    <row r="171" spans="16:17" x14ac:dyDescent="0.3">
      <c r="P171"/>
      <c r="Q171"/>
    </row>
    <row r="172" spans="16:17" x14ac:dyDescent="0.3">
      <c r="P172"/>
      <c r="Q172"/>
    </row>
    <row r="173" spans="16:17" x14ac:dyDescent="0.3">
      <c r="P173"/>
      <c r="Q173"/>
    </row>
    <row r="174" spans="16:17" x14ac:dyDescent="0.3">
      <c r="P174"/>
      <c r="Q174"/>
    </row>
    <row r="175" spans="16:17" x14ac:dyDescent="0.3">
      <c r="P175"/>
      <c r="Q175"/>
    </row>
    <row r="176" spans="16:17" x14ac:dyDescent="0.3">
      <c r="P176"/>
      <c r="Q176"/>
    </row>
    <row r="177" spans="16:17" x14ac:dyDescent="0.3">
      <c r="P177"/>
      <c r="Q177"/>
    </row>
    <row r="178" spans="16:17" x14ac:dyDescent="0.3">
      <c r="P178"/>
      <c r="Q178"/>
    </row>
    <row r="179" spans="16:17" x14ac:dyDescent="0.3">
      <c r="P179"/>
      <c r="Q179"/>
    </row>
    <row r="180" spans="16:17" x14ac:dyDescent="0.3">
      <c r="P180"/>
      <c r="Q180"/>
    </row>
    <row r="181" spans="16:17" x14ac:dyDescent="0.3">
      <c r="P181"/>
      <c r="Q181"/>
    </row>
    <row r="182" spans="16:17" x14ac:dyDescent="0.3">
      <c r="P182"/>
      <c r="Q182"/>
    </row>
    <row r="183" spans="16:17" x14ac:dyDescent="0.3">
      <c r="P183"/>
      <c r="Q183"/>
    </row>
    <row r="184" spans="16:17" x14ac:dyDescent="0.3">
      <c r="P184"/>
      <c r="Q184"/>
    </row>
    <row r="185" spans="16:17" x14ac:dyDescent="0.3">
      <c r="P185"/>
      <c r="Q185"/>
    </row>
    <row r="186" spans="16:17" x14ac:dyDescent="0.3">
      <c r="P186"/>
      <c r="Q186"/>
    </row>
    <row r="187" spans="16:17" x14ac:dyDescent="0.3">
      <c r="P187"/>
      <c r="Q187"/>
    </row>
    <row r="188" spans="16:17" x14ac:dyDesce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r="191" spans="16:17" x14ac:dyDescent="0.3">
      <c r="P191"/>
      <c r="Q191"/>
    </row>
    <row r="192" spans="16:17" x14ac:dyDescent="0.3">
      <c r="P192"/>
      <c r="Q192"/>
    </row>
    <row r="193" spans="16:17" x14ac:dyDescent="0.3">
      <c r="P193"/>
      <c r="Q193"/>
    </row>
    <row r="194" spans="16:17" x14ac:dyDescent="0.3">
      <c r="P194"/>
      <c r="Q194"/>
    </row>
    <row r="195" spans="16:17" x14ac:dyDescent="0.3">
      <c r="P195"/>
      <c r="Q195"/>
    </row>
    <row r="196" spans="16:17" x14ac:dyDescent="0.3">
      <c r="P196"/>
      <c r="Q196"/>
    </row>
    <row r="197" spans="16:17" x14ac:dyDescent="0.3">
      <c r="P197"/>
      <c r="Q197"/>
    </row>
    <row r="198" spans="16:17" x14ac:dyDescent="0.3">
      <c r="P198"/>
      <c r="Q198"/>
    </row>
    <row r="199" spans="16:17" x14ac:dyDescent="0.3">
      <c r="P199"/>
      <c r="Q199"/>
    </row>
    <row r="200" spans="16:17" x14ac:dyDescent="0.3">
      <c r="P200"/>
      <c r="Q200"/>
    </row>
    <row r="201" spans="16:17" x14ac:dyDescent="0.3">
      <c r="P201"/>
      <c r="Q201"/>
    </row>
    <row r="202" spans="16:17" x14ac:dyDescent="0.3">
      <c r="P202"/>
      <c r="Q202"/>
    </row>
    <row r="203" spans="16:17" x14ac:dyDescent="0.3">
      <c r="P203"/>
      <c r="Q203"/>
    </row>
    <row r="204" spans="16:17" x14ac:dyDescent="0.3">
      <c r="P204"/>
      <c r="Q204"/>
    </row>
    <row r="205" spans="16:17" x14ac:dyDescent="0.3">
      <c r="P205"/>
      <c r="Q205"/>
    </row>
    <row r="206" spans="16:17" x14ac:dyDescent="0.3">
      <c r="P206"/>
      <c r="Q206"/>
    </row>
    <row r="207" spans="16:17" x14ac:dyDescent="0.3">
      <c r="P207"/>
      <c r="Q207"/>
    </row>
    <row r="208" spans="16:17" x14ac:dyDescent="0.3">
      <c r="P208"/>
      <c r="Q208"/>
    </row>
    <row r="209" spans="16:17" x14ac:dyDescent="0.3">
      <c r="P209"/>
      <c r="Q209"/>
    </row>
    <row r="210" spans="16:17" x14ac:dyDescent="0.3">
      <c r="P210"/>
      <c r="Q210"/>
    </row>
    <row r="211" spans="16:17" x14ac:dyDescent="0.3">
      <c r="P211"/>
      <c r="Q211"/>
    </row>
    <row r="212" spans="16:17" x14ac:dyDescent="0.3">
      <c r="P212"/>
      <c r="Q212"/>
    </row>
    <row r="213" spans="16:17" x14ac:dyDescent="0.3">
      <c r="P213"/>
      <c r="Q213"/>
    </row>
    <row r="214" spans="16:17" x14ac:dyDescent="0.3">
      <c r="P214"/>
      <c r="Q214"/>
    </row>
    <row r="215" spans="16:17" x14ac:dyDescent="0.3">
      <c r="P215"/>
      <c r="Q215"/>
    </row>
    <row r="216" spans="16:17" x14ac:dyDescent="0.3">
      <c r="P216"/>
      <c r="Q216"/>
    </row>
    <row r="217" spans="16:17" x14ac:dyDescent="0.3">
      <c r="P217"/>
      <c r="Q217"/>
    </row>
    <row r="218" spans="16:17" x14ac:dyDescent="0.3">
      <c r="P218"/>
      <c r="Q218"/>
    </row>
    <row r="219" spans="16:17" x14ac:dyDescent="0.3">
      <c r="P219"/>
      <c r="Q219"/>
    </row>
    <row r="220" spans="16:17" x14ac:dyDescent="0.3">
      <c r="P220"/>
      <c r="Q220"/>
    </row>
    <row r="221" spans="16:17" x14ac:dyDescent="0.3">
      <c r="P221"/>
      <c r="Q221"/>
    </row>
    <row r="222" spans="16:17" x14ac:dyDescent="0.3">
      <c r="P222"/>
      <c r="Q222"/>
    </row>
    <row r="223" spans="16:17" x14ac:dyDescent="0.3">
      <c r="P223"/>
      <c r="Q223"/>
    </row>
    <row r="224" spans="16:17" x14ac:dyDescent="0.3">
      <c r="P224"/>
      <c r="Q224"/>
    </row>
    <row r="225" spans="16:17" x14ac:dyDescent="0.3">
      <c r="P225"/>
      <c r="Q225"/>
    </row>
    <row r="226" spans="16:17" x14ac:dyDescent="0.3">
      <c r="P226"/>
      <c r="Q226"/>
    </row>
    <row r="227" spans="16:17" x14ac:dyDescent="0.3">
      <c r="P227"/>
      <c r="Q227"/>
    </row>
    <row r="228" spans="16:17" x14ac:dyDescent="0.3">
      <c r="P228"/>
      <c r="Q228"/>
    </row>
    <row r="229" spans="16:17" x14ac:dyDescent="0.3">
      <c r="P229"/>
      <c r="Q229"/>
    </row>
    <row r="230" spans="16:17" x14ac:dyDescent="0.3">
      <c r="P230"/>
      <c r="Q230"/>
    </row>
    <row r="231" spans="16:17" x14ac:dyDescent="0.3">
      <c r="P231"/>
      <c r="Q231"/>
    </row>
    <row r="232" spans="16:17" x14ac:dyDescent="0.3">
      <c r="P232"/>
      <c r="Q232"/>
    </row>
    <row r="233" spans="16:17" x14ac:dyDescent="0.3">
      <c r="P233"/>
      <c r="Q233"/>
    </row>
    <row r="234" spans="16:17" x14ac:dyDescent="0.3">
      <c r="P234"/>
      <c r="Q234"/>
    </row>
    <row r="235" spans="16:17" x14ac:dyDescent="0.3">
      <c r="P235"/>
      <c r="Q235"/>
    </row>
    <row r="236" spans="16:17" x14ac:dyDescent="0.3">
      <c r="P236"/>
      <c r="Q236"/>
    </row>
    <row r="237" spans="16:17" x14ac:dyDescent="0.3">
      <c r="P237"/>
      <c r="Q237"/>
    </row>
    <row r="238" spans="16:17" x14ac:dyDescent="0.3">
      <c r="P238"/>
      <c r="Q238"/>
    </row>
    <row r="239" spans="16:17" x14ac:dyDescent="0.3">
      <c r="P239"/>
      <c r="Q239"/>
    </row>
    <row r="240" spans="16:17" x14ac:dyDescent="0.3">
      <c r="P240"/>
      <c r="Q240"/>
    </row>
    <row r="241" spans="16:17" x14ac:dyDescent="0.3">
      <c r="P241"/>
      <c r="Q241"/>
    </row>
    <row r="242" spans="16:17" x14ac:dyDescent="0.3">
      <c r="P242"/>
      <c r="Q242"/>
    </row>
    <row r="243" spans="16:17" x14ac:dyDescent="0.3">
      <c r="P243"/>
      <c r="Q243"/>
    </row>
    <row r="244" spans="16:17" x14ac:dyDescent="0.3">
      <c r="P244"/>
      <c r="Q244"/>
    </row>
    <row r="245" spans="16:17" x14ac:dyDescent="0.3">
      <c r="P245"/>
      <c r="Q245"/>
    </row>
    <row r="246" spans="16:17" x14ac:dyDescent="0.3">
      <c r="P246"/>
      <c r="Q246"/>
    </row>
    <row r="247" spans="16:17" x14ac:dyDescent="0.3">
      <c r="P247"/>
      <c r="Q247"/>
    </row>
    <row r="248" spans="16:17" x14ac:dyDescent="0.3">
      <c r="P248"/>
      <c r="Q248"/>
    </row>
    <row r="249" spans="16:17" x14ac:dyDescent="0.3">
      <c r="P249"/>
      <c r="Q249"/>
    </row>
    <row r="250" spans="16:17" x14ac:dyDescent="0.3">
      <c r="P250"/>
      <c r="Q250"/>
    </row>
    <row r="251" spans="16:17" x14ac:dyDescent="0.3">
      <c r="P251"/>
      <c r="Q251"/>
    </row>
    <row r="252" spans="16:17" x14ac:dyDescent="0.3">
      <c r="P252"/>
      <c r="Q252"/>
    </row>
    <row r="253" spans="16:17" x14ac:dyDescent="0.3">
      <c r="P253"/>
      <c r="Q253"/>
    </row>
    <row r="254" spans="16:17" x14ac:dyDescent="0.3">
      <c r="P254"/>
      <c r="Q254"/>
    </row>
    <row r="255" spans="16:17" x14ac:dyDescent="0.3">
      <c r="P255"/>
      <c r="Q255"/>
    </row>
    <row r="256" spans="16:17" x14ac:dyDescent="0.3">
      <c r="P256"/>
      <c r="Q256"/>
    </row>
    <row r="257" spans="16:17" x14ac:dyDescent="0.3">
      <c r="P257"/>
      <c r="Q257"/>
    </row>
    <row r="258" spans="16:17" x14ac:dyDescent="0.3">
      <c r="P258"/>
      <c r="Q258"/>
    </row>
    <row r="259" spans="16:17" x14ac:dyDescent="0.3">
      <c r="P259"/>
      <c r="Q259"/>
    </row>
    <row r="260" spans="16:17" x14ac:dyDescent="0.3">
      <c r="P260"/>
      <c r="Q260"/>
    </row>
    <row r="261" spans="16:17" x14ac:dyDescent="0.3">
      <c r="P261"/>
      <c r="Q261"/>
    </row>
    <row r="262" spans="16:17" x14ac:dyDescent="0.3">
      <c r="P262"/>
      <c r="Q262"/>
    </row>
    <row r="263" spans="16:17" x14ac:dyDescent="0.3">
      <c r="P263"/>
      <c r="Q263"/>
    </row>
    <row r="264" spans="16:17" x14ac:dyDescent="0.3">
      <c r="P264"/>
      <c r="Q264"/>
    </row>
    <row r="265" spans="16:17" x14ac:dyDescent="0.3">
      <c r="P265"/>
      <c r="Q265"/>
    </row>
    <row r="266" spans="16:17" x14ac:dyDescent="0.3">
      <c r="P266"/>
      <c r="Q266"/>
    </row>
    <row r="267" spans="16:17" x14ac:dyDescent="0.3">
      <c r="P267"/>
      <c r="Q267"/>
    </row>
    <row r="268" spans="16:17" x14ac:dyDescent="0.3">
      <c r="P268"/>
      <c r="Q268"/>
    </row>
    <row r="269" spans="16:17" x14ac:dyDescent="0.3">
      <c r="P269"/>
      <c r="Q269"/>
    </row>
    <row r="270" spans="16:17" x14ac:dyDescent="0.3">
      <c r="P270"/>
      <c r="Q270"/>
    </row>
    <row r="271" spans="16:17" x14ac:dyDescent="0.3">
      <c r="P271"/>
      <c r="Q271"/>
    </row>
    <row r="272" spans="16:17" x14ac:dyDescent="0.3">
      <c r="P272"/>
      <c r="Q272"/>
    </row>
    <row r="273" spans="16:17" x14ac:dyDescent="0.3">
      <c r="P273"/>
      <c r="Q273"/>
    </row>
    <row r="274" spans="16:17" x14ac:dyDescent="0.3">
      <c r="P274"/>
      <c r="Q274"/>
    </row>
    <row r="275" spans="16:17" x14ac:dyDescent="0.3">
      <c r="P275"/>
      <c r="Q275"/>
    </row>
    <row r="276" spans="16:17" x14ac:dyDescent="0.3">
      <c r="P276"/>
      <c r="Q276"/>
    </row>
    <row r="277" spans="16:17" x14ac:dyDescent="0.3">
      <c r="P277"/>
      <c r="Q277"/>
    </row>
    <row r="278" spans="16:17" x14ac:dyDescent="0.3">
      <c r="P278"/>
      <c r="Q278"/>
    </row>
    <row r="279" spans="16:17" x14ac:dyDescent="0.3">
      <c r="P279"/>
      <c r="Q279"/>
    </row>
    <row r="280" spans="16:17" x14ac:dyDescent="0.3">
      <c r="P280"/>
      <c r="Q280"/>
    </row>
    <row r="281" spans="16:17" x14ac:dyDescent="0.3">
      <c r="P281"/>
      <c r="Q281"/>
    </row>
    <row r="282" spans="16:17" x14ac:dyDescent="0.3">
      <c r="P282"/>
      <c r="Q282"/>
    </row>
    <row r="283" spans="16:17" x14ac:dyDescent="0.3">
      <c r="P283"/>
      <c r="Q283"/>
    </row>
    <row r="284" spans="16:17" x14ac:dyDescent="0.3">
      <c r="P284"/>
      <c r="Q284"/>
    </row>
    <row r="285" spans="16:17" x14ac:dyDescent="0.3">
      <c r="P285"/>
      <c r="Q285"/>
    </row>
    <row r="286" spans="16:17" x14ac:dyDescent="0.3">
      <c r="P286"/>
      <c r="Q286"/>
    </row>
    <row r="287" spans="16:17" x14ac:dyDescent="0.3">
      <c r="P287"/>
      <c r="Q287"/>
    </row>
    <row r="288" spans="16:17" x14ac:dyDescent="0.3">
      <c r="P288"/>
      <c r="Q288"/>
    </row>
    <row r="289" spans="16:17" x14ac:dyDescent="0.3">
      <c r="P289"/>
      <c r="Q289"/>
    </row>
    <row r="290" spans="16:17" x14ac:dyDescent="0.3">
      <c r="P290"/>
      <c r="Q290"/>
    </row>
    <row r="291" spans="16:17" x14ac:dyDescent="0.3">
      <c r="P291"/>
      <c r="Q291"/>
    </row>
    <row r="292" spans="16:17" x14ac:dyDescent="0.3">
      <c r="P292"/>
      <c r="Q292"/>
    </row>
    <row r="293" spans="16:17" x14ac:dyDescent="0.3">
      <c r="P293"/>
      <c r="Q293"/>
    </row>
    <row r="294" spans="16:17" x14ac:dyDescent="0.3">
      <c r="P294"/>
      <c r="Q294"/>
    </row>
    <row r="295" spans="16:17" x14ac:dyDescent="0.3">
      <c r="P295"/>
      <c r="Q295"/>
    </row>
    <row r="296" spans="16:17" x14ac:dyDescent="0.3">
      <c r="P296"/>
      <c r="Q296"/>
    </row>
    <row r="297" spans="16:17" x14ac:dyDescent="0.3">
      <c r="P297"/>
      <c r="Q297"/>
    </row>
    <row r="298" spans="16:17" x14ac:dyDescent="0.3">
      <c r="P298"/>
      <c r="Q298"/>
    </row>
    <row r="299" spans="16:17" x14ac:dyDescent="0.3">
      <c r="P299"/>
      <c r="Q299"/>
    </row>
    <row r="300" spans="16:17" x14ac:dyDescent="0.3">
      <c r="P300"/>
      <c r="Q300"/>
    </row>
    <row r="301" spans="16:17" x14ac:dyDescent="0.3">
      <c r="P301"/>
      <c r="Q301"/>
    </row>
    <row r="302" spans="16:17" x14ac:dyDescent="0.3">
      <c r="P302"/>
      <c r="Q302"/>
    </row>
    <row r="303" spans="16:17" x14ac:dyDescent="0.3">
      <c r="P303"/>
      <c r="Q303"/>
    </row>
    <row r="304" spans="16:17" x14ac:dyDescent="0.3">
      <c r="P304"/>
      <c r="Q304"/>
    </row>
    <row r="305" spans="16:17" x14ac:dyDescent="0.3">
      <c r="P305"/>
      <c r="Q305"/>
    </row>
    <row r="306" spans="16:17" x14ac:dyDescent="0.3">
      <c r="P306"/>
      <c r="Q306"/>
    </row>
    <row r="307" spans="16:17" x14ac:dyDescent="0.3">
      <c r="P307"/>
      <c r="Q307"/>
    </row>
    <row r="308" spans="16:17" x14ac:dyDescent="0.3">
      <c r="P308"/>
      <c r="Q308"/>
    </row>
    <row r="309" spans="16:17" x14ac:dyDescent="0.3">
      <c r="P309"/>
      <c r="Q309"/>
    </row>
    <row r="310" spans="16:17" x14ac:dyDescent="0.3">
      <c r="P310"/>
      <c r="Q310"/>
    </row>
    <row r="311" spans="16:17" x14ac:dyDescent="0.3">
      <c r="P311"/>
      <c r="Q311"/>
    </row>
    <row r="312" spans="16:17" x14ac:dyDescent="0.3">
      <c r="P312"/>
      <c r="Q312"/>
    </row>
    <row r="313" spans="16:17" x14ac:dyDescent="0.3">
      <c r="P313"/>
      <c r="Q313"/>
    </row>
    <row r="314" spans="16:17" x14ac:dyDescent="0.3">
      <c r="P314"/>
      <c r="Q314"/>
    </row>
    <row r="315" spans="16:17" x14ac:dyDescent="0.3">
      <c r="P315"/>
      <c r="Q315"/>
    </row>
    <row r="316" spans="16:17" x14ac:dyDescent="0.3">
      <c r="P316"/>
      <c r="Q316"/>
    </row>
    <row r="317" spans="16:17" x14ac:dyDescent="0.3">
      <c r="P317"/>
      <c r="Q317"/>
    </row>
    <row r="318" spans="16:17" x14ac:dyDescent="0.3">
      <c r="P318"/>
      <c r="Q318"/>
    </row>
    <row r="319" spans="16:17" x14ac:dyDescent="0.3">
      <c r="P319"/>
      <c r="Q319"/>
    </row>
    <row r="320" spans="16:17" x14ac:dyDescent="0.3">
      <c r="P320"/>
      <c r="Q320"/>
    </row>
    <row r="321" spans="16:17" x14ac:dyDescent="0.3">
      <c r="P321"/>
      <c r="Q321"/>
    </row>
    <row r="322" spans="16:17" x14ac:dyDescent="0.3">
      <c r="P322"/>
      <c r="Q322"/>
    </row>
    <row r="323" spans="16:17" x14ac:dyDescent="0.3">
      <c r="P323"/>
      <c r="Q323"/>
    </row>
    <row r="324" spans="16:17" x14ac:dyDescent="0.3">
      <c r="P324"/>
      <c r="Q324"/>
    </row>
    <row r="325" spans="16:17" x14ac:dyDescent="0.3">
      <c r="P325"/>
      <c r="Q325"/>
    </row>
    <row r="326" spans="16:17" x14ac:dyDescent="0.3">
      <c r="P326"/>
      <c r="Q326"/>
    </row>
    <row r="327" spans="16:17" x14ac:dyDescent="0.3">
      <c r="P327"/>
      <c r="Q327"/>
    </row>
    <row r="328" spans="16:17" x14ac:dyDescent="0.3">
      <c r="P328"/>
      <c r="Q328"/>
    </row>
    <row r="329" spans="16:17" x14ac:dyDescent="0.3">
      <c r="P329"/>
      <c r="Q329"/>
    </row>
    <row r="330" spans="16:17" x14ac:dyDescent="0.3">
      <c r="P330"/>
      <c r="Q330"/>
    </row>
    <row r="331" spans="16:17" x14ac:dyDescent="0.3">
      <c r="P331"/>
      <c r="Q331"/>
    </row>
    <row r="332" spans="16:17" x14ac:dyDescent="0.3">
      <c r="P332"/>
      <c r="Q332"/>
    </row>
    <row r="333" spans="16:17" x14ac:dyDescent="0.3">
      <c r="P333"/>
      <c r="Q333"/>
    </row>
    <row r="334" spans="16:17" x14ac:dyDescent="0.3">
      <c r="P334"/>
      <c r="Q334"/>
    </row>
    <row r="335" spans="16:17" x14ac:dyDescent="0.3">
      <c r="P335"/>
      <c r="Q335"/>
    </row>
    <row r="336" spans="16:17" x14ac:dyDescent="0.3">
      <c r="P336"/>
      <c r="Q336"/>
    </row>
    <row r="337" spans="16:17" x14ac:dyDescent="0.3">
      <c r="P337"/>
      <c r="Q337"/>
    </row>
    <row r="338" spans="16:17" x14ac:dyDescent="0.3">
      <c r="P338"/>
      <c r="Q338"/>
    </row>
    <row r="339" spans="16:17" x14ac:dyDescent="0.3">
      <c r="P339"/>
      <c r="Q339"/>
    </row>
    <row r="340" spans="16:17" x14ac:dyDescent="0.3">
      <c r="P340"/>
      <c r="Q340"/>
    </row>
    <row r="341" spans="16:17" x14ac:dyDescent="0.3">
      <c r="P341"/>
      <c r="Q341"/>
    </row>
    <row r="342" spans="16:17" x14ac:dyDescent="0.3">
      <c r="P342"/>
      <c r="Q342"/>
    </row>
    <row r="343" spans="16:17" x14ac:dyDescent="0.3">
      <c r="P343"/>
      <c r="Q343"/>
    </row>
    <row r="344" spans="16:17" x14ac:dyDescent="0.3">
      <c r="P344"/>
      <c r="Q344"/>
    </row>
    <row r="345" spans="16:17" x14ac:dyDescent="0.3">
      <c r="P345"/>
      <c r="Q345"/>
    </row>
    <row r="346" spans="16:17" x14ac:dyDescent="0.3">
      <c r="P346"/>
      <c r="Q346"/>
    </row>
    <row r="347" spans="16:17" x14ac:dyDescent="0.3">
      <c r="P347"/>
      <c r="Q347"/>
    </row>
    <row r="348" spans="16:17" x14ac:dyDescent="0.3">
      <c r="P348"/>
      <c r="Q348"/>
    </row>
    <row r="349" spans="16:17" x14ac:dyDescent="0.3">
      <c r="P349"/>
      <c r="Q349"/>
    </row>
    <row r="350" spans="16:17" x14ac:dyDescent="0.3">
      <c r="P350"/>
      <c r="Q350"/>
    </row>
    <row r="351" spans="16:17" x14ac:dyDescent="0.3">
      <c r="P351"/>
      <c r="Q351"/>
    </row>
    <row r="352" spans="16:17" x14ac:dyDescent="0.3">
      <c r="P352"/>
      <c r="Q352"/>
    </row>
  </sheetData>
  <mergeCells count="9">
    <mergeCell ref="N23:O23"/>
    <mergeCell ref="N37:O37"/>
    <mergeCell ref="K47:L47"/>
    <mergeCell ref="B1:O1"/>
    <mergeCell ref="B3:G3"/>
    <mergeCell ref="K3:O3"/>
    <mergeCell ref="B12:C12"/>
    <mergeCell ref="K21:K22"/>
    <mergeCell ref="L21:L22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3D56-E13C-403A-9851-E118E713F012}">
  <dimension ref="B1:AN352"/>
  <sheetViews>
    <sheetView topLeftCell="D4" zoomScaleNormal="100" workbookViewId="0">
      <selection activeCell="K18" sqref="K18"/>
    </sheetView>
  </sheetViews>
  <sheetFormatPr defaultColWidth="9.33203125" defaultRowHeight="14.4" x14ac:dyDescent="0.3"/>
  <cols>
    <col min="1" max="1" width="1.6640625" customWidth="1"/>
    <col min="2" max="2" width="35.6640625" bestFit="1" customWidth="1"/>
    <col min="3" max="3" width="15.44140625" customWidth="1"/>
    <col min="4" max="5" width="11.33203125" customWidth="1"/>
    <col min="6" max="6" width="32.44140625" bestFit="1" customWidth="1"/>
    <col min="7" max="7" width="10.33203125" customWidth="1"/>
    <col min="8" max="8" width="1.6640625" customWidth="1"/>
    <col min="9" max="10" width="2" customWidth="1"/>
    <col min="11" max="11" width="22.6640625" bestFit="1" customWidth="1"/>
    <col min="12" max="12" width="14.44140625" bestFit="1" customWidth="1"/>
    <col min="13" max="13" width="15.33203125" customWidth="1"/>
    <col min="14" max="14" width="22.6640625" bestFit="1" customWidth="1"/>
    <col min="15" max="15" width="14.44140625" bestFit="1" customWidth="1"/>
    <col min="16" max="16" width="11.44140625" style="1" bestFit="1" customWidth="1"/>
    <col min="17" max="17" width="18.44140625" style="1" bestFit="1" customWidth="1"/>
    <col min="18" max="18" width="18.44140625" hidden="1" customWidth="1"/>
    <col min="19" max="19" width="5.6640625" hidden="1" customWidth="1"/>
    <col min="20" max="39" width="12.33203125" bestFit="1" customWidth="1"/>
    <col min="40" max="40" width="13" bestFit="1" customWidth="1"/>
  </cols>
  <sheetData>
    <row r="1" spans="2:19" ht="28.8" x14ac:dyDescent="0.3"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15" thickBot="1" x14ac:dyDescent="0.35"/>
    <row r="3" spans="2:19" ht="18.600000000000001" thickBot="1" x14ac:dyDescent="0.4">
      <c r="B3" s="45" t="s">
        <v>67</v>
      </c>
      <c r="C3" s="45"/>
      <c r="D3" s="45"/>
      <c r="E3" s="45"/>
      <c r="F3" s="45"/>
      <c r="G3" s="45"/>
      <c r="K3" s="46" t="s">
        <v>65</v>
      </c>
      <c r="L3" s="47"/>
      <c r="M3" s="47"/>
      <c r="N3" s="47"/>
      <c r="O3" s="47"/>
      <c r="Q3"/>
    </row>
    <row r="4" spans="2:19" ht="15" thickBot="1" x14ac:dyDescent="0.35">
      <c r="C4" s="2"/>
      <c r="D4" s="2"/>
      <c r="E4" s="2"/>
      <c r="P4"/>
      <c r="Q4"/>
    </row>
    <row r="5" spans="2:19" ht="16.5" customHeight="1" thickBot="1" x14ac:dyDescent="0.35">
      <c r="B5" s="3" t="s">
        <v>1</v>
      </c>
      <c r="C5" s="4">
        <f>2+13+24</f>
        <v>39</v>
      </c>
      <c r="D5" s="5"/>
      <c r="E5" s="5" t="s">
        <v>2</v>
      </c>
      <c r="F5" s="6" t="s">
        <v>3</v>
      </c>
      <c r="G5" s="7" t="s">
        <v>4</v>
      </c>
      <c r="K5" s="6" t="s">
        <v>63</v>
      </c>
      <c r="L5" s="8" t="s">
        <v>5</v>
      </c>
      <c r="N5" s="6" t="s">
        <v>64</v>
      </c>
      <c r="O5" s="6"/>
      <c r="Q5"/>
      <c r="R5" s="9" t="s">
        <v>6</v>
      </c>
      <c r="S5" s="9" t="s">
        <v>7</v>
      </c>
    </row>
    <row r="6" spans="2:19" x14ac:dyDescent="0.3">
      <c r="B6" s="10" t="s">
        <v>8</v>
      </c>
      <c r="C6" s="11">
        <f>1</f>
        <v>1</v>
      </c>
      <c r="D6" s="5"/>
      <c r="E6" s="12"/>
      <c r="F6" s="13" t="s">
        <v>9</v>
      </c>
      <c r="G6" s="14">
        <v>2</v>
      </c>
      <c r="K6" s="15" t="s">
        <v>10</v>
      </c>
      <c r="L6" s="16">
        <f>3+2+4</f>
        <v>9</v>
      </c>
      <c r="N6" s="17" t="s">
        <v>9</v>
      </c>
      <c r="O6" s="14">
        <f>2</f>
        <v>2</v>
      </c>
      <c r="P6" s="18"/>
      <c r="Q6"/>
      <c r="R6" s="17" t="s">
        <v>11</v>
      </c>
      <c r="S6" s="19">
        <v>3</v>
      </c>
    </row>
    <row r="7" spans="2:19" ht="15" customHeight="1" x14ac:dyDescent="0.3">
      <c r="B7" s="10" t="s">
        <v>12</v>
      </c>
      <c r="C7" s="11">
        <f>1+16+22</f>
        <v>39</v>
      </c>
      <c r="D7" s="5"/>
      <c r="E7" s="12"/>
      <c r="F7" s="20" t="s">
        <v>11</v>
      </c>
      <c r="G7" s="14">
        <v>4</v>
      </c>
      <c r="K7" s="15" t="s">
        <v>13</v>
      </c>
      <c r="L7" s="16"/>
      <c r="N7" s="21" t="s">
        <v>11</v>
      </c>
      <c r="O7" s="14">
        <v>0</v>
      </c>
      <c r="P7" s="18"/>
      <c r="Q7"/>
      <c r="R7" s="21" t="s">
        <v>14</v>
      </c>
      <c r="S7" s="22">
        <v>6</v>
      </c>
    </row>
    <row r="8" spans="2:19" x14ac:dyDescent="0.3">
      <c r="B8" s="10" t="s">
        <v>15</v>
      </c>
      <c r="C8" s="23">
        <f>1+0</f>
        <v>1</v>
      </c>
      <c r="D8" s="12"/>
      <c r="E8" s="12"/>
      <c r="F8" s="21" t="s">
        <v>16</v>
      </c>
      <c r="G8" s="14">
        <v>9</v>
      </c>
      <c r="K8" s="15" t="s">
        <v>17</v>
      </c>
      <c r="L8" s="24"/>
      <c r="N8" s="21" t="s">
        <v>16</v>
      </c>
      <c r="O8" s="14">
        <v>0</v>
      </c>
      <c r="P8" s="18"/>
      <c r="Q8"/>
      <c r="R8" s="21" t="s">
        <v>18</v>
      </c>
      <c r="S8" s="22">
        <v>6</v>
      </c>
    </row>
    <row r="9" spans="2:19" x14ac:dyDescent="0.3">
      <c r="B9" s="10" t="s">
        <v>19</v>
      </c>
      <c r="C9" s="23">
        <f>3+2</f>
        <v>5</v>
      </c>
      <c r="D9" s="12"/>
      <c r="E9" s="12"/>
      <c r="F9" s="21" t="s">
        <v>14</v>
      </c>
      <c r="G9" s="14">
        <v>0</v>
      </c>
      <c r="K9" s="15" t="s">
        <v>20</v>
      </c>
      <c r="L9" s="24"/>
      <c r="M9" s="18"/>
      <c r="N9" s="21" t="s">
        <v>14</v>
      </c>
      <c r="O9" s="14">
        <v>0</v>
      </c>
      <c r="P9" s="18"/>
      <c r="Q9"/>
      <c r="R9" s="21" t="s">
        <v>21</v>
      </c>
      <c r="S9" s="22">
        <v>1</v>
      </c>
    </row>
    <row r="10" spans="2:19" x14ac:dyDescent="0.3">
      <c r="B10" s="10" t="s">
        <v>22</v>
      </c>
      <c r="C10" s="23">
        <f>3+2+4</f>
        <v>9</v>
      </c>
      <c r="D10" s="12"/>
      <c r="E10" s="12"/>
      <c r="F10" s="21" t="s">
        <v>27</v>
      </c>
      <c r="G10" s="14">
        <v>3</v>
      </c>
      <c r="K10" s="15" t="s">
        <v>24</v>
      </c>
      <c r="L10" s="24"/>
      <c r="N10" s="21" t="s">
        <v>27</v>
      </c>
      <c r="O10" s="14">
        <v>0</v>
      </c>
      <c r="P10" s="18"/>
      <c r="R10" s="21" t="s">
        <v>25</v>
      </c>
      <c r="S10" s="22">
        <v>6</v>
      </c>
    </row>
    <row r="11" spans="2:19" ht="15" thickBot="1" x14ac:dyDescent="0.35">
      <c r="B11" s="25" t="s">
        <v>26</v>
      </c>
      <c r="C11" s="26">
        <f>3+2+3</f>
        <v>8</v>
      </c>
      <c r="D11" s="12"/>
      <c r="E11" s="12"/>
      <c r="F11" s="21" t="s">
        <v>30</v>
      </c>
      <c r="G11" s="14">
        <v>3</v>
      </c>
      <c r="K11" s="15" t="s">
        <v>28</v>
      </c>
      <c r="L11" s="24"/>
      <c r="N11" s="21" t="s">
        <v>30</v>
      </c>
      <c r="O11" s="14">
        <v>0</v>
      </c>
      <c r="P11" s="18"/>
      <c r="R11" s="21" t="s">
        <v>29</v>
      </c>
      <c r="S11" s="22">
        <v>7</v>
      </c>
    </row>
    <row r="12" spans="2:19" ht="15" thickBot="1" x14ac:dyDescent="0.35">
      <c r="B12" s="48"/>
      <c r="C12" s="49"/>
      <c r="D12" s="12"/>
      <c r="F12" s="21" t="s">
        <v>59</v>
      </c>
      <c r="G12" s="14">
        <v>1</v>
      </c>
      <c r="K12" s="15" t="s">
        <v>31</v>
      </c>
      <c r="L12" s="24"/>
      <c r="N12" s="21" t="s">
        <v>59</v>
      </c>
      <c r="O12" s="14">
        <f>1</f>
        <v>1</v>
      </c>
      <c r="P12" s="18"/>
      <c r="R12" s="21" t="s">
        <v>32</v>
      </c>
      <c r="S12" s="22">
        <v>3</v>
      </c>
    </row>
    <row r="13" spans="2:19" ht="15" thickBot="1" x14ac:dyDescent="0.35">
      <c r="B13" s="27" t="s">
        <v>3</v>
      </c>
      <c r="C13" s="8" t="s">
        <v>7</v>
      </c>
      <c r="D13" s="12"/>
      <c r="F13" s="21" t="s">
        <v>58</v>
      </c>
      <c r="G13" s="14">
        <v>0</v>
      </c>
      <c r="K13" s="15" t="s">
        <v>34</v>
      </c>
      <c r="L13" s="24"/>
      <c r="N13" s="21" t="s">
        <v>58</v>
      </c>
      <c r="O13" s="14">
        <v>0</v>
      </c>
      <c r="P13" s="18"/>
      <c r="R13" s="21" t="s">
        <v>35</v>
      </c>
      <c r="S13" s="22">
        <v>1</v>
      </c>
    </row>
    <row r="14" spans="2:19" ht="15" thickBot="1" x14ac:dyDescent="0.35">
      <c r="B14" s="13" t="s">
        <v>9</v>
      </c>
      <c r="C14" s="28">
        <v>0</v>
      </c>
      <c r="F14" s="21" t="s">
        <v>33</v>
      </c>
      <c r="G14" s="14">
        <v>0</v>
      </c>
      <c r="K14" s="15" t="s">
        <v>37</v>
      </c>
      <c r="L14" s="24"/>
      <c r="N14" s="21" t="s">
        <v>38</v>
      </c>
      <c r="O14" s="14">
        <f>1+1</f>
        <v>2</v>
      </c>
      <c r="P14" s="18"/>
      <c r="R14" s="30" t="s">
        <v>39</v>
      </c>
      <c r="S14" s="22">
        <v>1</v>
      </c>
    </row>
    <row r="15" spans="2:19" ht="15" thickBot="1" x14ac:dyDescent="0.35">
      <c r="B15" s="20" t="s">
        <v>11</v>
      </c>
      <c r="C15" s="14">
        <v>0</v>
      </c>
      <c r="F15" s="21" t="s">
        <v>36</v>
      </c>
      <c r="G15" s="29">
        <v>0</v>
      </c>
      <c r="K15" s="15" t="s">
        <v>41</v>
      </c>
      <c r="L15" s="24"/>
      <c r="N15" s="21" t="s">
        <v>42</v>
      </c>
      <c r="O15" s="14">
        <f>2+1</f>
        <v>3</v>
      </c>
      <c r="P15" s="18"/>
      <c r="R15" s="32" t="s">
        <v>43</v>
      </c>
      <c r="S15" s="9">
        <v>34</v>
      </c>
    </row>
    <row r="16" spans="2:19" ht="15" customHeight="1" thickBot="1" x14ac:dyDescent="0.35">
      <c r="B16" s="20" t="s">
        <v>16</v>
      </c>
      <c r="C16" s="14">
        <v>0</v>
      </c>
      <c r="F16" s="31" t="s">
        <v>40</v>
      </c>
      <c r="G16" s="7">
        <f>SUM(G6:G15)</f>
        <v>22</v>
      </c>
      <c r="K16" s="15" t="s">
        <v>44</v>
      </c>
      <c r="L16" s="24"/>
      <c r="N16" s="33" t="s">
        <v>45</v>
      </c>
      <c r="O16" s="14">
        <f>1</f>
        <v>1</v>
      </c>
    </row>
    <row r="17" spans="2:38" ht="15" customHeight="1" thickBot="1" x14ac:dyDescent="0.35">
      <c r="B17" s="20" t="s">
        <v>14</v>
      </c>
      <c r="C17" s="14">
        <v>0</v>
      </c>
      <c r="K17" s="15" t="s">
        <v>46</v>
      </c>
      <c r="L17" s="24"/>
      <c r="N17" s="21" t="s">
        <v>21</v>
      </c>
      <c r="O17" s="14">
        <v>0</v>
      </c>
    </row>
    <row r="18" spans="2:38" ht="15" thickBot="1" x14ac:dyDescent="0.35">
      <c r="B18" s="20" t="s">
        <v>23</v>
      </c>
      <c r="C18" s="14">
        <v>0</v>
      </c>
      <c r="K18" s="7" t="s">
        <v>63</v>
      </c>
      <c r="L18" s="34">
        <f>SUM(L6:L17)</f>
        <v>9</v>
      </c>
      <c r="N18" s="21" t="s">
        <v>47</v>
      </c>
      <c r="O18" s="14">
        <v>0</v>
      </c>
    </row>
    <row r="19" spans="2:38" ht="15" thickBot="1" x14ac:dyDescent="0.35">
      <c r="B19" s="21" t="s">
        <v>27</v>
      </c>
      <c r="C19" s="14">
        <v>0</v>
      </c>
      <c r="N19" s="7" t="s">
        <v>48</v>
      </c>
      <c r="O19" s="7">
        <f>SUM(O6:O18)</f>
        <v>9</v>
      </c>
    </row>
    <row r="20" spans="2:38" ht="15" customHeight="1" thickBot="1" x14ac:dyDescent="0.35">
      <c r="B20" s="21" t="s">
        <v>30</v>
      </c>
      <c r="C20" s="14">
        <v>0</v>
      </c>
      <c r="N20" s="35"/>
      <c r="O20" s="35"/>
    </row>
    <row r="21" spans="2:38" ht="15" customHeight="1" x14ac:dyDescent="0.3">
      <c r="B21" s="20" t="s">
        <v>59</v>
      </c>
      <c r="C21" s="14">
        <v>1</v>
      </c>
      <c r="K21" s="50" t="s">
        <v>49</v>
      </c>
      <c r="L21" s="52">
        <f>L18/1</f>
        <v>9</v>
      </c>
      <c r="N21" s="35"/>
      <c r="O21" s="35"/>
    </row>
    <row r="22" spans="2:38" s="1" customFormat="1" ht="15" customHeight="1" thickBot="1" x14ac:dyDescent="0.35">
      <c r="B22" s="20" t="s">
        <v>58</v>
      </c>
      <c r="C22" s="14">
        <v>0</v>
      </c>
      <c r="D22"/>
      <c r="F22" s="36"/>
      <c r="G22"/>
      <c r="K22" s="51"/>
      <c r="L22" s="53"/>
      <c r="N22"/>
      <c r="O22"/>
      <c r="R22"/>
      <c r="S22"/>
    </row>
    <row r="23" spans="2:38" s="1" customFormat="1" ht="15" customHeight="1" thickBot="1" x14ac:dyDescent="0.35">
      <c r="B23" s="20" t="s">
        <v>25</v>
      </c>
      <c r="C23" s="14">
        <v>1</v>
      </c>
      <c r="D23"/>
      <c r="F23"/>
      <c r="G23"/>
      <c r="N23" s="40" t="s">
        <v>61</v>
      </c>
      <c r="O23" s="41"/>
      <c r="R23"/>
      <c r="S23"/>
    </row>
    <row r="24" spans="2:38" s="1" customFormat="1" ht="15" customHeight="1" x14ac:dyDescent="0.3">
      <c r="B24" s="20" t="s">
        <v>42</v>
      </c>
      <c r="C24" s="14">
        <v>1</v>
      </c>
      <c r="F24"/>
      <c r="G24"/>
      <c r="N24" s="17" t="s">
        <v>9</v>
      </c>
      <c r="O24" s="14">
        <f>3+2</f>
        <v>5</v>
      </c>
      <c r="R24"/>
      <c r="S24"/>
    </row>
    <row r="25" spans="2:38" s="1" customFormat="1" ht="15" customHeight="1" x14ac:dyDescent="0.3">
      <c r="B25" s="20" t="s">
        <v>50</v>
      </c>
      <c r="C25" s="14">
        <v>1</v>
      </c>
      <c r="F25"/>
      <c r="G25"/>
      <c r="N25" s="21" t="s">
        <v>11</v>
      </c>
      <c r="O25" s="14">
        <f>2+4</f>
        <v>6</v>
      </c>
      <c r="R25"/>
      <c r="S25"/>
    </row>
    <row r="26" spans="2:38" s="1" customFormat="1" ht="15" customHeight="1" x14ac:dyDescent="0.3">
      <c r="B26" s="20" t="s">
        <v>21</v>
      </c>
      <c r="C26" s="14">
        <v>0</v>
      </c>
      <c r="G26"/>
      <c r="N26" s="21" t="s">
        <v>16</v>
      </c>
      <c r="O26" s="14">
        <f>4+9</f>
        <v>13</v>
      </c>
      <c r="P26"/>
    </row>
    <row r="27" spans="2:38" s="1" customFormat="1" x14ac:dyDescent="0.3">
      <c r="B27" s="21" t="s">
        <v>57</v>
      </c>
      <c r="C27" s="14">
        <v>0</v>
      </c>
      <c r="G27"/>
      <c r="N27" s="21" t="s">
        <v>14</v>
      </c>
      <c r="O27" s="14">
        <f>1+0</f>
        <v>1</v>
      </c>
      <c r="P27"/>
      <c r="Q27"/>
    </row>
    <row r="28" spans="2:38" s="1" customFormat="1" x14ac:dyDescent="0.3">
      <c r="B28" s="21" t="s">
        <v>51</v>
      </c>
      <c r="C28" s="14">
        <v>0</v>
      </c>
      <c r="E28" s="37"/>
      <c r="F28"/>
      <c r="G28"/>
      <c r="N28" s="21" t="s">
        <v>27</v>
      </c>
      <c r="O28" s="14">
        <f>1+3+3</f>
        <v>7</v>
      </c>
      <c r="P28"/>
      <c r="Q28"/>
    </row>
    <row r="29" spans="2:38" s="1" customFormat="1" x14ac:dyDescent="0.3">
      <c r="B29" s="21" t="s">
        <v>52</v>
      </c>
      <c r="C29" s="14">
        <v>0</v>
      </c>
      <c r="F29"/>
      <c r="G29"/>
      <c r="N29" s="21" t="s">
        <v>30</v>
      </c>
      <c r="O29" s="14">
        <f>4+3</f>
        <v>7</v>
      </c>
      <c r="P29"/>
      <c r="Q29"/>
    </row>
    <row r="30" spans="2:38" s="1" customFormat="1" x14ac:dyDescent="0.3">
      <c r="B30" s="21" t="s">
        <v>53</v>
      </c>
      <c r="C30" s="14">
        <v>0</v>
      </c>
      <c r="F30"/>
      <c r="G30"/>
      <c r="N30" s="21" t="s">
        <v>59</v>
      </c>
      <c r="O30" s="14">
        <f>1</f>
        <v>1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2:38" s="1" customFormat="1" x14ac:dyDescent="0.3">
      <c r="B31" s="21" t="s">
        <v>54</v>
      </c>
      <c r="C31" s="14">
        <v>0</v>
      </c>
      <c r="N31" s="21" t="s">
        <v>58</v>
      </c>
      <c r="O31" s="14">
        <v>0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2:38" s="1" customFormat="1" ht="15" thickBot="1" x14ac:dyDescent="0.35">
      <c r="B32" s="30" t="s">
        <v>55</v>
      </c>
      <c r="C32" s="14">
        <v>0</v>
      </c>
      <c r="N32" s="21" t="s">
        <v>33</v>
      </c>
      <c r="O32" s="14">
        <v>0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2:40" s="1" customFormat="1" ht="15" thickBot="1" x14ac:dyDescent="0.35">
      <c r="B33" s="38" t="s">
        <v>56</v>
      </c>
      <c r="C33" s="7">
        <f>SUM(C16:C32)</f>
        <v>4</v>
      </c>
      <c r="N33" s="21" t="s">
        <v>47</v>
      </c>
      <c r="O33" s="14">
        <v>0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2:40" s="1" customFormat="1" ht="15" thickBot="1" x14ac:dyDescent="0.35">
      <c r="N34" s="7" t="s">
        <v>48</v>
      </c>
      <c r="O34" s="7">
        <f>SUM(O24:O33)</f>
        <v>40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2:40" s="1" customFormat="1" x14ac:dyDescent="0.3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2:40" s="1" customFormat="1" ht="15" thickBot="1" x14ac:dyDescent="0.3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s="1" customFormat="1" ht="15" thickBot="1" x14ac:dyDescent="0.35">
      <c r="K37"/>
      <c r="L37"/>
      <c r="N37" s="40" t="s">
        <v>62</v>
      </c>
      <c r="O37" s="4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2:40" s="1" customFormat="1" x14ac:dyDescent="0.3">
      <c r="K38"/>
      <c r="L38"/>
      <c r="N38" s="17" t="s">
        <v>9</v>
      </c>
      <c r="O38" s="14">
        <f>5+1</f>
        <v>6</v>
      </c>
      <c r="P38"/>
      <c r="R38"/>
      <c r="S38"/>
    </row>
    <row r="39" spans="2:40" x14ac:dyDescent="0.3">
      <c r="B39" s="1"/>
      <c r="C39" s="1"/>
      <c r="D39" s="1"/>
      <c r="F39" s="1"/>
      <c r="G39" s="1"/>
      <c r="N39" s="21" t="s">
        <v>11</v>
      </c>
      <c r="O39" s="14">
        <f>1+6</f>
        <v>7</v>
      </c>
      <c r="P39"/>
    </row>
    <row r="40" spans="2:40" s="1" customFormat="1" x14ac:dyDescent="0.3">
      <c r="K40"/>
      <c r="L40"/>
      <c r="N40" s="21" t="s">
        <v>16</v>
      </c>
      <c r="O40" s="14">
        <f>4+4</f>
        <v>8</v>
      </c>
      <c r="P40"/>
      <c r="R40"/>
      <c r="S40"/>
    </row>
    <row r="41" spans="2:40" x14ac:dyDescent="0.3">
      <c r="B41" s="1"/>
      <c r="C41" s="1"/>
      <c r="F41" s="1"/>
      <c r="G41" s="1"/>
      <c r="N41" s="21" t="s">
        <v>14</v>
      </c>
      <c r="O41" s="14">
        <v>0</v>
      </c>
      <c r="P41"/>
    </row>
    <row r="42" spans="2:40" s="1" customFormat="1" x14ac:dyDescent="0.3">
      <c r="F42"/>
      <c r="G42"/>
      <c r="K42"/>
      <c r="L42"/>
      <c r="N42" s="21" t="s">
        <v>27</v>
      </c>
      <c r="O42" s="14">
        <f>4</f>
        <v>4</v>
      </c>
      <c r="P42"/>
      <c r="R42"/>
      <c r="S42"/>
    </row>
    <row r="43" spans="2:40" x14ac:dyDescent="0.3">
      <c r="B43" s="1"/>
      <c r="C43" s="1"/>
      <c r="N43" s="21" t="s">
        <v>30</v>
      </c>
      <c r="O43" s="14">
        <f>1+3+5</f>
        <v>9</v>
      </c>
      <c r="P43"/>
      <c r="Q43"/>
    </row>
    <row r="44" spans="2:40" x14ac:dyDescent="0.3">
      <c r="C44" s="1"/>
      <c r="D44" s="1"/>
      <c r="N44" s="21" t="s">
        <v>59</v>
      </c>
      <c r="O44" s="14">
        <f>1+3</f>
        <v>4</v>
      </c>
      <c r="P44"/>
      <c r="Q44"/>
    </row>
    <row r="45" spans="2:40" x14ac:dyDescent="0.3">
      <c r="N45" s="21" t="s">
        <v>58</v>
      </c>
      <c r="O45" s="14">
        <f>1</f>
        <v>1</v>
      </c>
      <c r="P45"/>
      <c r="Q45"/>
    </row>
    <row r="46" spans="2:40" ht="15" customHeight="1" x14ac:dyDescent="0.3">
      <c r="N46" s="21" t="s">
        <v>33</v>
      </c>
      <c r="O46" s="14">
        <v>0</v>
      </c>
      <c r="P46"/>
      <c r="Q46"/>
    </row>
    <row r="47" spans="2:40" ht="15" thickBot="1" x14ac:dyDescent="0.35">
      <c r="K47" s="42"/>
      <c r="L47" s="42"/>
      <c r="N47" s="21" t="s">
        <v>47</v>
      </c>
      <c r="O47" s="14">
        <f>1</f>
        <v>1</v>
      </c>
      <c r="P47"/>
      <c r="Q47"/>
    </row>
    <row r="48" spans="2:40" ht="15" thickBot="1" x14ac:dyDescent="0.35">
      <c r="N48" s="7" t="s">
        <v>48</v>
      </c>
      <c r="O48" s="7">
        <f>SUM(O38:O47)</f>
        <v>40</v>
      </c>
      <c r="P48"/>
      <c r="Q48"/>
    </row>
    <row r="49" spans="16:17" x14ac:dyDescent="0.3">
      <c r="P49"/>
      <c r="Q49"/>
    </row>
    <row r="50" spans="16:17" x14ac:dyDescent="0.3">
      <c r="P50"/>
      <c r="Q50"/>
    </row>
    <row r="51" spans="16:17" x14ac:dyDescent="0.3">
      <c r="P51"/>
      <c r="Q51"/>
    </row>
    <row r="52" spans="16:17" x14ac:dyDescent="0.3">
      <c r="P52"/>
      <c r="Q52"/>
    </row>
    <row r="53" spans="16:17" x14ac:dyDescent="0.3">
      <c r="P53"/>
      <c r="Q53"/>
    </row>
    <row r="54" spans="16:17" x14ac:dyDescent="0.3">
      <c r="P54"/>
      <c r="Q54"/>
    </row>
    <row r="55" spans="16:17" x14ac:dyDescent="0.3">
      <c r="P55"/>
      <c r="Q55"/>
    </row>
    <row r="56" spans="16:17" x14ac:dyDescent="0.3">
      <c r="P56"/>
      <c r="Q56"/>
    </row>
    <row r="57" spans="16:17" x14ac:dyDescent="0.3">
      <c r="P57"/>
      <c r="Q57"/>
    </row>
    <row r="58" spans="16:17" x14ac:dyDescent="0.3">
      <c r="P58"/>
      <c r="Q58"/>
    </row>
    <row r="59" spans="16:17" x14ac:dyDescent="0.3">
      <c r="P59"/>
      <c r="Q59"/>
    </row>
    <row r="60" spans="16:17" x14ac:dyDescent="0.3">
      <c r="P60"/>
      <c r="Q60"/>
    </row>
    <row r="61" spans="16:17" x14ac:dyDescent="0.3">
      <c r="P61"/>
      <c r="Q61"/>
    </row>
    <row r="62" spans="16:17" x14ac:dyDescent="0.3">
      <c r="P62"/>
      <c r="Q62"/>
    </row>
    <row r="63" spans="16:17" x14ac:dyDescent="0.3">
      <c r="P63"/>
      <c r="Q63"/>
    </row>
    <row r="64" spans="16:17" x14ac:dyDescent="0.3">
      <c r="P64"/>
      <c r="Q64"/>
    </row>
    <row r="65" spans="16:17" x14ac:dyDescent="0.3">
      <c r="P65"/>
      <c r="Q65"/>
    </row>
    <row r="66" spans="16:17" x14ac:dyDescent="0.3">
      <c r="P66"/>
      <c r="Q66"/>
    </row>
    <row r="67" spans="16:17" x14ac:dyDescent="0.3">
      <c r="P67"/>
      <c r="Q67"/>
    </row>
    <row r="68" spans="16:17" x14ac:dyDescent="0.3">
      <c r="P68"/>
      <c r="Q68"/>
    </row>
    <row r="69" spans="16:17" x14ac:dyDescent="0.3">
      <c r="P69"/>
      <c r="Q69"/>
    </row>
    <row r="70" spans="16:17" x14ac:dyDescent="0.3">
      <c r="P70"/>
      <c r="Q70"/>
    </row>
    <row r="71" spans="16:17" x14ac:dyDescent="0.3">
      <c r="P71"/>
      <c r="Q71"/>
    </row>
    <row r="72" spans="16:17" x14ac:dyDescent="0.3">
      <c r="P72"/>
      <c r="Q72"/>
    </row>
    <row r="73" spans="16:17" x14ac:dyDescent="0.3">
      <c r="P73"/>
      <c r="Q73"/>
    </row>
    <row r="74" spans="16:17" x14ac:dyDescent="0.3">
      <c r="P74"/>
      <c r="Q74"/>
    </row>
    <row r="75" spans="16:17" x14ac:dyDescent="0.3">
      <c r="P75"/>
      <c r="Q75"/>
    </row>
    <row r="76" spans="16:17" x14ac:dyDescent="0.3">
      <c r="P76"/>
      <c r="Q76"/>
    </row>
    <row r="77" spans="16:17" x14ac:dyDescent="0.3">
      <c r="P77"/>
      <c r="Q77"/>
    </row>
    <row r="78" spans="16:17" x14ac:dyDescent="0.3">
      <c r="P78"/>
      <c r="Q78"/>
    </row>
    <row r="79" spans="16:17" x14ac:dyDescent="0.3">
      <c r="P79"/>
      <c r="Q79"/>
    </row>
    <row r="80" spans="16:17" x14ac:dyDescent="0.3">
      <c r="P80"/>
      <c r="Q80"/>
    </row>
    <row r="81" spans="16:17" x14ac:dyDescent="0.3">
      <c r="P81"/>
      <c r="Q81"/>
    </row>
    <row r="82" spans="16:17" x14ac:dyDescent="0.3">
      <c r="P82"/>
      <c r="Q82"/>
    </row>
    <row r="83" spans="16:17" x14ac:dyDescent="0.3">
      <c r="P83"/>
      <c r="Q83"/>
    </row>
    <row r="84" spans="16:17" x14ac:dyDescent="0.3">
      <c r="P84"/>
      <c r="Q84"/>
    </row>
    <row r="85" spans="16:17" x14ac:dyDescent="0.3">
      <c r="P85"/>
      <c r="Q85"/>
    </row>
    <row r="86" spans="16:17" x14ac:dyDescent="0.3">
      <c r="P86"/>
      <c r="Q86"/>
    </row>
    <row r="87" spans="16:17" x14ac:dyDescent="0.3">
      <c r="P87"/>
      <c r="Q87"/>
    </row>
    <row r="88" spans="16:17" x14ac:dyDescent="0.3">
      <c r="P88"/>
      <c r="Q88"/>
    </row>
    <row r="89" spans="16:17" x14ac:dyDescent="0.3">
      <c r="P89"/>
      <c r="Q89"/>
    </row>
    <row r="90" spans="16:17" x14ac:dyDescent="0.3">
      <c r="P90"/>
      <c r="Q90"/>
    </row>
    <row r="91" spans="16:17" x14ac:dyDescent="0.3">
      <c r="P91"/>
      <c r="Q91"/>
    </row>
    <row r="92" spans="16:17" x14ac:dyDescent="0.3">
      <c r="P92"/>
      <c r="Q92"/>
    </row>
    <row r="93" spans="16:17" x14ac:dyDescent="0.3">
      <c r="P93"/>
      <c r="Q93"/>
    </row>
    <row r="94" spans="16:17" x14ac:dyDescent="0.3">
      <c r="P94"/>
      <c r="Q94"/>
    </row>
    <row r="95" spans="16:17" x14ac:dyDescent="0.3">
      <c r="P95"/>
      <c r="Q95"/>
    </row>
    <row r="96" spans="16:17" x14ac:dyDescent="0.3">
      <c r="P96"/>
      <c r="Q96"/>
    </row>
    <row r="97" spans="16:17" x14ac:dyDescent="0.3">
      <c r="P97"/>
      <c r="Q97"/>
    </row>
    <row r="98" spans="16:17" x14ac:dyDescent="0.3">
      <c r="P98"/>
      <c r="Q98"/>
    </row>
    <row r="99" spans="16:17" x14ac:dyDescent="0.3">
      <c r="P99"/>
      <c r="Q99"/>
    </row>
    <row r="100" spans="16:17" x14ac:dyDescent="0.3">
      <c r="P100"/>
      <c r="Q100"/>
    </row>
    <row r="101" spans="16:17" x14ac:dyDescent="0.3">
      <c r="P101"/>
      <c r="Q101"/>
    </row>
    <row r="102" spans="16:17" x14ac:dyDescent="0.3">
      <c r="P102"/>
      <c r="Q102"/>
    </row>
    <row r="103" spans="16:17" x14ac:dyDescent="0.3">
      <c r="P103"/>
      <c r="Q103"/>
    </row>
    <row r="104" spans="16:17" x14ac:dyDescent="0.3">
      <c r="P104"/>
      <c r="Q104"/>
    </row>
    <row r="105" spans="16:17" x14ac:dyDescent="0.3">
      <c r="P105"/>
      <c r="Q105"/>
    </row>
    <row r="106" spans="16:17" x14ac:dyDescent="0.3">
      <c r="P106"/>
      <c r="Q106"/>
    </row>
    <row r="107" spans="16:17" x14ac:dyDescent="0.3">
      <c r="P107"/>
      <c r="Q107"/>
    </row>
    <row r="108" spans="16:17" x14ac:dyDescent="0.3">
      <c r="P108"/>
      <c r="Q108"/>
    </row>
    <row r="109" spans="16:17" x14ac:dyDescent="0.3">
      <c r="P109"/>
      <c r="Q109"/>
    </row>
    <row r="110" spans="16:17" x14ac:dyDescent="0.3">
      <c r="P110"/>
      <c r="Q110"/>
    </row>
    <row r="111" spans="16:17" x14ac:dyDescent="0.3">
      <c r="P111"/>
      <c r="Q111"/>
    </row>
    <row r="112" spans="16:17" x14ac:dyDescent="0.3">
      <c r="P112"/>
      <c r="Q112"/>
    </row>
    <row r="113" spans="16:17" x14ac:dyDescent="0.3">
      <c r="P113"/>
      <c r="Q113"/>
    </row>
    <row r="114" spans="16:17" x14ac:dyDescent="0.3">
      <c r="P114"/>
      <c r="Q114"/>
    </row>
    <row r="115" spans="16:17" x14ac:dyDescent="0.3">
      <c r="P115"/>
      <c r="Q115"/>
    </row>
    <row r="116" spans="16:17" x14ac:dyDescent="0.3">
      <c r="P116"/>
      <c r="Q116"/>
    </row>
    <row r="117" spans="16:17" x14ac:dyDescent="0.3">
      <c r="P117"/>
      <c r="Q117"/>
    </row>
    <row r="118" spans="16:17" x14ac:dyDescent="0.3">
      <c r="P118"/>
      <c r="Q118"/>
    </row>
    <row r="119" spans="16:17" x14ac:dyDescent="0.3">
      <c r="P119"/>
      <c r="Q119"/>
    </row>
    <row r="120" spans="16:17" x14ac:dyDescent="0.3">
      <c r="P120"/>
      <c r="Q120"/>
    </row>
    <row r="121" spans="16:17" x14ac:dyDescent="0.3">
      <c r="P121"/>
      <c r="Q121"/>
    </row>
    <row r="122" spans="16:17" x14ac:dyDescent="0.3">
      <c r="P122"/>
      <c r="Q122"/>
    </row>
    <row r="123" spans="16:17" x14ac:dyDescent="0.3">
      <c r="P123"/>
      <c r="Q123"/>
    </row>
    <row r="124" spans="16:17" x14ac:dyDescent="0.3">
      <c r="P124"/>
      <c r="Q124"/>
    </row>
    <row r="125" spans="16:17" x14ac:dyDescent="0.3">
      <c r="P125"/>
      <c r="Q125"/>
    </row>
    <row r="126" spans="16:17" x14ac:dyDescent="0.3">
      <c r="P126"/>
      <c r="Q126"/>
    </row>
    <row r="127" spans="16:17" x14ac:dyDescent="0.3">
      <c r="P127"/>
      <c r="Q127"/>
    </row>
    <row r="128" spans="16:17" x14ac:dyDescent="0.3">
      <c r="P128"/>
      <c r="Q128"/>
    </row>
    <row r="129" spans="16:17" x14ac:dyDescent="0.3">
      <c r="P129"/>
      <c r="Q129"/>
    </row>
    <row r="130" spans="16:17" x14ac:dyDescent="0.3">
      <c r="P130"/>
      <c r="Q130"/>
    </row>
    <row r="131" spans="16:17" x14ac:dyDescent="0.3">
      <c r="P131"/>
      <c r="Q131"/>
    </row>
    <row r="132" spans="16:17" x14ac:dyDescent="0.3">
      <c r="P132"/>
      <c r="Q132"/>
    </row>
    <row r="133" spans="16:17" x14ac:dyDescent="0.3">
      <c r="P133"/>
      <c r="Q133"/>
    </row>
    <row r="134" spans="16:17" x14ac:dyDescent="0.3">
      <c r="P134"/>
      <c r="Q134"/>
    </row>
    <row r="135" spans="16:17" x14ac:dyDescent="0.3">
      <c r="P135"/>
      <c r="Q135"/>
    </row>
    <row r="136" spans="16:17" x14ac:dyDescent="0.3">
      <c r="P136"/>
      <c r="Q136"/>
    </row>
    <row r="137" spans="16:17" x14ac:dyDescent="0.3">
      <c r="P137"/>
      <c r="Q137"/>
    </row>
    <row r="138" spans="16:17" x14ac:dyDescent="0.3">
      <c r="P138"/>
      <c r="Q138"/>
    </row>
    <row r="139" spans="16:17" x14ac:dyDescent="0.3">
      <c r="P139"/>
      <c r="Q139"/>
    </row>
    <row r="140" spans="16:17" x14ac:dyDescent="0.3">
      <c r="P140"/>
      <c r="Q140"/>
    </row>
    <row r="141" spans="16:17" x14ac:dyDescent="0.3">
      <c r="P141"/>
      <c r="Q141"/>
    </row>
    <row r="142" spans="16:17" x14ac:dyDescent="0.3">
      <c r="P142"/>
      <c r="Q142"/>
    </row>
    <row r="143" spans="16:17" x14ac:dyDescent="0.3">
      <c r="P143"/>
      <c r="Q143"/>
    </row>
    <row r="144" spans="16:17" x14ac:dyDescent="0.3">
      <c r="P144"/>
      <c r="Q144"/>
    </row>
    <row r="145" spans="16:17" x14ac:dyDescent="0.3">
      <c r="P145"/>
      <c r="Q145"/>
    </row>
    <row r="146" spans="16:17" x14ac:dyDescent="0.3">
      <c r="P146"/>
      <c r="Q146"/>
    </row>
    <row r="147" spans="16:17" x14ac:dyDescent="0.3">
      <c r="P147"/>
      <c r="Q147"/>
    </row>
    <row r="148" spans="16:17" x14ac:dyDescent="0.3">
      <c r="P148"/>
      <c r="Q148"/>
    </row>
    <row r="149" spans="16:17" x14ac:dyDescent="0.3">
      <c r="P149"/>
      <c r="Q149"/>
    </row>
    <row r="150" spans="16:17" x14ac:dyDescent="0.3">
      <c r="P150"/>
      <c r="Q150"/>
    </row>
    <row r="151" spans="16:17" x14ac:dyDescent="0.3">
      <c r="P151"/>
      <c r="Q151"/>
    </row>
    <row r="152" spans="16:17" x14ac:dyDescent="0.3">
      <c r="P152"/>
      <c r="Q152"/>
    </row>
    <row r="153" spans="16:17" x14ac:dyDescent="0.3">
      <c r="P153"/>
      <c r="Q153"/>
    </row>
    <row r="154" spans="16:17" x14ac:dyDescent="0.3">
      <c r="P154"/>
      <c r="Q154"/>
    </row>
    <row r="155" spans="16:17" x14ac:dyDescent="0.3">
      <c r="P155"/>
      <c r="Q155"/>
    </row>
    <row r="156" spans="16:17" x14ac:dyDescent="0.3">
      <c r="P156"/>
      <c r="Q156"/>
    </row>
    <row r="157" spans="16:17" x14ac:dyDescent="0.3">
      <c r="P157"/>
      <c r="Q157"/>
    </row>
    <row r="158" spans="16:17" x14ac:dyDescent="0.3">
      <c r="P158"/>
      <c r="Q158"/>
    </row>
    <row r="159" spans="16:17" x14ac:dyDescent="0.3">
      <c r="P159"/>
      <c r="Q159"/>
    </row>
    <row r="160" spans="16:17" x14ac:dyDescent="0.3">
      <c r="P160"/>
      <c r="Q160"/>
    </row>
    <row r="161" spans="16:17" x14ac:dyDescent="0.3">
      <c r="P161"/>
      <c r="Q161"/>
    </row>
    <row r="162" spans="16:17" x14ac:dyDescent="0.3">
      <c r="P162"/>
      <c r="Q162"/>
    </row>
    <row r="163" spans="16:17" x14ac:dyDescent="0.3">
      <c r="P163"/>
      <c r="Q163"/>
    </row>
    <row r="164" spans="16:17" x14ac:dyDescent="0.3">
      <c r="P164"/>
      <c r="Q164"/>
    </row>
    <row r="165" spans="16:17" x14ac:dyDescent="0.3">
      <c r="P165"/>
      <c r="Q165"/>
    </row>
    <row r="166" spans="16:17" x14ac:dyDescent="0.3">
      <c r="P166"/>
      <c r="Q166"/>
    </row>
    <row r="167" spans="16:17" x14ac:dyDescent="0.3">
      <c r="P167"/>
      <c r="Q167"/>
    </row>
    <row r="168" spans="16:17" x14ac:dyDescent="0.3">
      <c r="P168"/>
      <c r="Q168"/>
    </row>
    <row r="169" spans="16:17" x14ac:dyDescent="0.3">
      <c r="P169"/>
      <c r="Q169"/>
    </row>
    <row r="170" spans="16:17" x14ac:dyDescent="0.3">
      <c r="P170"/>
      <c r="Q170"/>
    </row>
    <row r="171" spans="16:17" x14ac:dyDescent="0.3">
      <c r="P171"/>
      <c r="Q171"/>
    </row>
    <row r="172" spans="16:17" x14ac:dyDescent="0.3">
      <c r="P172"/>
      <c r="Q172"/>
    </row>
    <row r="173" spans="16:17" x14ac:dyDescent="0.3">
      <c r="P173"/>
      <c r="Q173"/>
    </row>
    <row r="174" spans="16:17" x14ac:dyDescent="0.3">
      <c r="P174"/>
      <c r="Q174"/>
    </row>
    <row r="175" spans="16:17" x14ac:dyDescent="0.3">
      <c r="P175"/>
      <c r="Q175"/>
    </row>
    <row r="176" spans="16:17" x14ac:dyDescent="0.3">
      <c r="P176"/>
      <c r="Q176"/>
    </row>
    <row r="177" spans="16:17" x14ac:dyDescent="0.3">
      <c r="P177"/>
      <c r="Q177"/>
    </row>
    <row r="178" spans="16:17" x14ac:dyDescent="0.3">
      <c r="P178"/>
      <c r="Q178"/>
    </row>
    <row r="179" spans="16:17" x14ac:dyDescent="0.3">
      <c r="P179"/>
      <c r="Q179"/>
    </row>
    <row r="180" spans="16:17" x14ac:dyDescent="0.3">
      <c r="P180"/>
      <c r="Q180"/>
    </row>
    <row r="181" spans="16:17" x14ac:dyDescent="0.3">
      <c r="P181"/>
      <c r="Q181"/>
    </row>
    <row r="182" spans="16:17" x14ac:dyDescent="0.3">
      <c r="P182"/>
      <c r="Q182"/>
    </row>
    <row r="183" spans="16:17" x14ac:dyDescent="0.3">
      <c r="P183"/>
      <c r="Q183"/>
    </row>
    <row r="184" spans="16:17" x14ac:dyDescent="0.3">
      <c r="P184"/>
      <c r="Q184"/>
    </row>
    <row r="185" spans="16:17" x14ac:dyDescent="0.3">
      <c r="P185"/>
      <c r="Q185"/>
    </row>
    <row r="186" spans="16:17" x14ac:dyDescent="0.3">
      <c r="P186"/>
      <c r="Q186"/>
    </row>
    <row r="187" spans="16:17" x14ac:dyDescent="0.3">
      <c r="P187"/>
      <c r="Q187"/>
    </row>
    <row r="188" spans="16:17" x14ac:dyDesce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r="191" spans="16:17" x14ac:dyDescent="0.3">
      <c r="P191"/>
      <c r="Q191"/>
    </row>
    <row r="192" spans="16:17" x14ac:dyDescent="0.3">
      <c r="P192"/>
      <c r="Q192"/>
    </row>
    <row r="193" spans="16:17" x14ac:dyDescent="0.3">
      <c r="P193"/>
      <c r="Q193"/>
    </row>
    <row r="194" spans="16:17" x14ac:dyDescent="0.3">
      <c r="P194"/>
      <c r="Q194"/>
    </row>
    <row r="195" spans="16:17" x14ac:dyDescent="0.3">
      <c r="P195"/>
      <c r="Q195"/>
    </row>
    <row r="196" spans="16:17" x14ac:dyDescent="0.3">
      <c r="P196"/>
      <c r="Q196"/>
    </row>
    <row r="197" spans="16:17" x14ac:dyDescent="0.3">
      <c r="P197"/>
      <c r="Q197"/>
    </row>
    <row r="198" spans="16:17" x14ac:dyDescent="0.3">
      <c r="P198"/>
      <c r="Q198"/>
    </row>
    <row r="199" spans="16:17" x14ac:dyDescent="0.3">
      <c r="P199"/>
      <c r="Q199"/>
    </row>
    <row r="200" spans="16:17" x14ac:dyDescent="0.3">
      <c r="P200"/>
      <c r="Q200"/>
    </row>
    <row r="201" spans="16:17" x14ac:dyDescent="0.3">
      <c r="P201"/>
      <c r="Q201"/>
    </row>
    <row r="202" spans="16:17" x14ac:dyDescent="0.3">
      <c r="P202"/>
      <c r="Q202"/>
    </row>
    <row r="203" spans="16:17" x14ac:dyDescent="0.3">
      <c r="P203"/>
      <c r="Q203"/>
    </row>
    <row r="204" spans="16:17" x14ac:dyDescent="0.3">
      <c r="P204"/>
      <c r="Q204"/>
    </row>
    <row r="205" spans="16:17" x14ac:dyDescent="0.3">
      <c r="P205"/>
      <c r="Q205"/>
    </row>
    <row r="206" spans="16:17" x14ac:dyDescent="0.3">
      <c r="P206"/>
      <c r="Q206"/>
    </row>
    <row r="207" spans="16:17" x14ac:dyDescent="0.3">
      <c r="P207"/>
      <c r="Q207"/>
    </row>
    <row r="208" spans="16:17" x14ac:dyDescent="0.3">
      <c r="P208"/>
      <c r="Q208"/>
    </row>
    <row r="209" spans="16:17" x14ac:dyDescent="0.3">
      <c r="P209"/>
      <c r="Q209"/>
    </row>
    <row r="210" spans="16:17" x14ac:dyDescent="0.3">
      <c r="P210"/>
      <c r="Q210"/>
    </row>
    <row r="211" spans="16:17" x14ac:dyDescent="0.3">
      <c r="P211"/>
      <c r="Q211"/>
    </row>
    <row r="212" spans="16:17" x14ac:dyDescent="0.3">
      <c r="P212"/>
      <c r="Q212"/>
    </row>
    <row r="213" spans="16:17" x14ac:dyDescent="0.3">
      <c r="P213"/>
      <c r="Q213"/>
    </row>
    <row r="214" spans="16:17" x14ac:dyDescent="0.3">
      <c r="P214"/>
      <c r="Q214"/>
    </row>
    <row r="215" spans="16:17" x14ac:dyDescent="0.3">
      <c r="P215"/>
      <c r="Q215"/>
    </row>
    <row r="216" spans="16:17" x14ac:dyDescent="0.3">
      <c r="P216"/>
      <c r="Q216"/>
    </row>
    <row r="217" spans="16:17" x14ac:dyDescent="0.3">
      <c r="P217"/>
      <c r="Q217"/>
    </row>
    <row r="218" spans="16:17" x14ac:dyDescent="0.3">
      <c r="P218"/>
      <c r="Q218"/>
    </row>
    <row r="219" spans="16:17" x14ac:dyDescent="0.3">
      <c r="P219"/>
      <c r="Q219"/>
    </row>
    <row r="220" spans="16:17" x14ac:dyDescent="0.3">
      <c r="P220"/>
      <c r="Q220"/>
    </row>
    <row r="221" spans="16:17" x14ac:dyDescent="0.3">
      <c r="P221"/>
      <c r="Q221"/>
    </row>
    <row r="222" spans="16:17" x14ac:dyDescent="0.3">
      <c r="P222"/>
      <c r="Q222"/>
    </row>
    <row r="223" spans="16:17" x14ac:dyDescent="0.3">
      <c r="P223"/>
      <c r="Q223"/>
    </row>
    <row r="224" spans="16:17" x14ac:dyDescent="0.3">
      <c r="P224"/>
      <c r="Q224"/>
    </row>
    <row r="225" spans="16:17" x14ac:dyDescent="0.3">
      <c r="P225"/>
      <c r="Q225"/>
    </row>
    <row r="226" spans="16:17" x14ac:dyDescent="0.3">
      <c r="P226"/>
      <c r="Q226"/>
    </row>
    <row r="227" spans="16:17" x14ac:dyDescent="0.3">
      <c r="P227"/>
      <c r="Q227"/>
    </row>
    <row r="228" spans="16:17" x14ac:dyDescent="0.3">
      <c r="P228"/>
      <c r="Q228"/>
    </row>
    <row r="229" spans="16:17" x14ac:dyDescent="0.3">
      <c r="P229"/>
      <c r="Q229"/>
    </row>
    <row r="230" spans="16:17" x14ac:dyDescent="0.3">
      <c r="P230"/>
      <c r="Q230"/>
    </row>
    <row r="231" spans="16:17" x14ac:dyDescent="0.3">
      <c r="P231"/>
      <c r="Q231"/>
    </row>
    <row r="232" spans="16:17" x14ac:dyDescent="0.3">
      <c r="P232"/>
      <c r="Q232"/>
    </row>
    <row r="233" spans="16:17" x14ac:dyDescent="0.3">
      <c r="P233"/>
      <c r="Q233"/>
    </row>
    <row r="234" spans="16:17" x14ac:dyDescent="0.3">
      <c r="P234"/>
      <c r="Q234"/>
    </row>
    <row r="235" spans="16:17" x14ac:dyDescent="0.3">
      <c r="P235"/>
      <c r="Q235"/>
    </row>
    <row r="236" spans="16:17" x14ac:dyDescent="0.3">
      <c r="P236"/>
      <c r="Q236"/>
    </row>
    <row r="237" spans="16:17" x14ac:dyDescent="0.3">
      <c r="P237"/>
      <c r="Q237"/>
    </row>
    <row r="238" spans="16:17" x14ac:dyDescent="0.3">
      <c r="P238"/>
      <c r="Q238"/>
    </row>
    <row r="239" spans="16:17" x14ac:dyDescent="0.3">
      <c r="P239"/>
      <c r="Q239"/>
    </row>
    <row r="240" spans="16:17" x14ac:dyDescent="0.3">
      <c r="P240"/>
      <c r="Q240"/>
    </row>
    <row r="241" spans="16:17" x14ac:dyDescent="0.3">
      <c r="P241"/>
      <c r="Q241"/>
    </row>
    <row r="242" spans="16:17" x14ac:dyDescent="0.3">
      <c r="P242"/>
      <c r="Q242"/>
    </row>
    <row r="243" spans="16:17" x14ac:dyDescent="0.3">
      <c r="P243"/>
      <c r="Q243"/>
    </row>
    <row r="244" spans="16:17" x14ac:dyDescent="0.3">
      <c r="P244"/>
      <c r="Q244"/>
    </row>
    <row r="245" spans="16:17" x14ac:dyDescent="0.3">
      <c r="P245"/>
      <c r="Q245"/>
    </row>
    <row r="246" spans="16:17" x14ac:dyDescent="0.3">
      <c r="P246"/>
      <c r="Q246"/>
    </row>
    <row r="247" spans="16:17" x14ac:dyDescent="0.3">
      <c r="P247"/>
      <c r="Q247"/>
    </row>
    <row r="248" spans="16:17" x14ac:dyDescent="0.3">
      <c r="P248"/>
      <c r="Q248"/>
    </row>
    <row r="249" spans="16:17" x14ac:dyDescent="0.3">
      <c r="P249"/>
      <c r="Q249"/>
    </row>
    <row r="250" spans="16:17" x14ac:dyDescent="0.3">
      <c r="P250"/>
      <c r="Q250"/>
    </row>
    <row r="251" spans="16:17" x14ac:dyDescent="0.3">
      <c r="P251"/>
      <c r="Q251"/>
    </row>
    <row r="252" spans="16:17" x14ac:dyDescent="0.3">
      <c r="P252"/>
      <c r="Q252"/>
    </row>
    <row r="253" spans="16:17" x14ac:dyDescent="0.3">
      <c r="P253"/>
      <c r="Q253"/>
    </row>
    <row r="254" spans="16:17" x14ac:dyDescent="0.3">
      <c r="P254"/>
      <c r="Q254"/>
    </row>
    <row r="255" spans="16:17" x14ac:dyDescent="0.3">
      <c r="P255"/>
      <c r="Q255"/>
    </row>
    <row r="256" spans="16:17" x14ac:dyDescent="0.3">
      <c r="P256"/>
      <c r="Q256"/>
    </row>
    <row r="257" spans="16:17" x14ac:dyDescent="0.3">
      <c r="P257"/>
      <c r="Q257"/>
    </row>
    <row r="258" spans="16:17" x14ac:dyDescent="0.3">
      <c r="P258"/>
      <c r="Q258"/>
    </row>
    <row r="259" spans="16:17" x14ac:dyDescent="0.3">
      <c r="P259"/>
      <c r="Q259"/>
    </row>
    <row r="260" spans="16:17" x14ac:dyDescent="0.3">
      <c r="P260"/>
      <c r="Q260"/>
    </row>
    <row r="261" spans="16:17" x14ac:dyDescent="0.3">
      <c r="P261"/>
      <c r="Q261"/>
    </row>
    <row r="262" spans="16:17" x14ac:dyDescent="0.3">
      <c r="P262"/>
      <c r="Q262"/>
    </row>
    <row r="263" spans="16:17" x14ac:dyDescent="0.3">
      <c r="P263"/>
      <c r="Q263"/>
    </row>
    <row r="264" spans="16:17" x14ac:dyDescent="0.3">
      <c r="P264"/>
      <c r="Q264"/>
    </row>
    <row r="265" spans="16:17" x14ac:dyDescent="0.3">
      <c r="P265"/>
      <c r="Q265"/>
    </row>
    <row r="266" spans="16:17" x14ac:dyDescent="0.3">
      <c r="P266"/>
      <c r="Q266"/>
    </row>
    <row r="267" spans="16:17" x14ac:dyDescent="0.3">
      <c r="P267"/>
      <c r="Q267"/>
    </row>
    <row r="268" spans="16:17" x14ac:dyDescent="0.3">
      <c r="P268"/>
      <c r="Q268"/>
    </row>
    <row r="269" spans="16:17" x14ac:dyDescent="0.3">
      <c r="P269"/>
      <c r="Q269"/>
    </row>
    <row r="270" spans="16:17" x14ac:dyDescent="0.3">
      <c r="P270"/>
      <c r="Q270"/>
    </row>
    <row r="271" spans="16:17" x14ac:dyDescent="0.3">
      <c r="P271"/>
      <c r="Q271"/>
    </row>
    <row r="272" spans="16:17" x14ac:dyDescent="0.3">
      <c r="P272"/>
      <c r="Q272"/>
    </row>
    <row r="273" spans="16:17" x14ac:dyDescent="0.3">
      <c r="P273"/>
      <c r="Q273"/>
    </row>
    <row r="274" spans="16:17" x14ac:dyDescent="0.3">
      <c r="P274"/>
      <c r="Q274"/>
    </row>
    <row r="275" spans="16:17" x14ac:dyDescent="0.3">
      <c r="P275"/>
      <c r="Q275"/>
    </row>
    <row r="276" spans="16:17" x14ac:dyDescent="0.3">
      <c r="P276"/>
      <c r="Q276"/>
    </row>
    <row r="277" spans="16:17" x14ac:dyDescent="0.3">
      <c r="P277"/>
      <c r="Q277"/>
    </row>
    <row r="278" spans="16:17" x14ac:dyDescent="0.3">
      <c r="P278"/>
      <c r="Q278"/>
    </row>
    <row r="279" spans="16:17" x14ac:dyDescent="0.3">
      <c r="P279"/>
      <c r="Q279"/>
    </row>
    <row r="280" spans="16:17" x14ac:dyDescent="0.3">
      <c r="P280"/>
      <c r="Q280"/>
    </row>
    <row r="281" spans="16:17" x14ac:dyDescent="0.3">
      <c r="P281"/>
      <c r="Q281"/>
    </row>
    <row r="282" spans="16:17" x14ac:dyDescent="0.3">
      <c r="P282"/>
      <c r="Q282"/>
    </row>
    <row r="283" spans="16:17" x14ac:dyDescent="0.3">
      <c r="P283"/>
      <c r="Q283"/>
    </row>
    <row r="284" spans="16:17" x14ac:dyDescent="0.3">
      <c r="P284"/>
      <c r="Q284"/>
    </row>
    <row r="285" spans="16:17" x14ac:dyDescent="0.3">
      <c r="P285"/>
      <c r="Q285"/>
    </row>
    <row r="286" spans="16:17" x14ac:dyDescent="0.3">
      <c r="P286"/>
      <c r="Q286"/>
    </row>
    <row r="287" spans="16:17" x14ac:dyDescent="0.3">
      <c r="P287"/>
      <c r="Q287"/>
    </row>
    <row r="288" spans="16:17" x14ac:dyDescent="0.3">
      <c r="P288"/>
      <c r="Q288"/>
    </row>
    <row r="289" spans="16:17" x14ac:dyDescent="0.3">
      <c r="P289"/>
      <c r="Q289"/>
    </row>
    <row r="290" spans="16:17" x14ac:dyDescent="0.3">
      <c r="P290"/>
      <c r="Q290"/>
    </row>
    <row r="291" spans="16:17" x14ac:dyDescent="0.3">
      <c r="P291"/>
      <c r="Q291"/>
    </row>
    <row r="292" spans="16:17" x14ac:dyDescent="0.3">
      <c r="P292"/>
      <c r="Q292"/>
    </row>
    <row r="293" spans="16:17" x14ac:dyDescent="0.3">
      <c r="P293"/>
      <c r="Q293"/>
    </row>
    <row r="294" spans="16:17" x14ac:dyDescent="0.3">
      <c r="P294"/>
      <c r="Q294"/>
    </row>
    <row r="295" spans="16:17" x14ac:dyDescent="0.3">
      <c r="P295"/>
      <c r="Q295"/>
    </row>
    <row r="296" spans="16:17" x14ac:dyDescent="0.3">
      <c r="P296"/>
      <c r="Q296"/>
    </row>
    <row r="297" spans="16:17" x14ac:dyDescent="0.3">
      <c r="P297"/>
      <c r="Q297"/>
    </row>
    <row r="298" spans="16:17" x14ac:dyDescent="0.3">
      <c r="P298"/>
      <c r="Q298"/>
    </row>
    <row r="299" spans="16:17" x14ac:dyDescent="0.3">
      <c r="P299"/>
      <c r="Q299"/>
    </row>
    <row r="300" spans="16:17" x14ac:dyDescent="0.3">
      <c r="P300"/>
      <c r="Q300"/>
    </row>
    <row r="301" spans="16:17" x14ac:dyDescent="0.3">
      <c r="P301"/>
      <c r="Q301"/>
    </row>
    <row r="302" spans="16:17" x14ac:dyDescent="0.3">
      <c r="P302"/>
      <c r="Q302"/>
    </row>
    <row r="303" spans="16:17" x14ac:dyDescent="0.3">
      <c r="P303"/>
      <c r="Q303"/>
    </row>
    <row r="304" spans="16:17" x14ac:dyDescent="0.3">
      <c r="P304"/>
      <c r="Q304"/>
    </row>
    <row r="305" spans="16:17" x14ac:dyDescent="0.3">
      <c r="P305"/>
      <c r="Q305"/>
    </row>
    <row r="306" spans="16:17" x14ac:dyDescent="0.3">
      <c r="P306"/>
      <c r="Q306"/>
    </row>
    <row r="307" spans="16:17" x14ac:dyDescent="0.3">
      <c r="P307"/>
      <c r="Q307"/>
    </row>
    <row r="308" spans="16:17" x14ac:dyDescent="0.3">
      <c r="P308"/>
      <c r="Q308"/>
    </row>
    <row r="309" spans="16:17" x14ac:dyDescent="0.3">
      <c r="P309"/>
      <c r="Q309"/>
    </row>
    <row r="310" spans="16:17" x14ac:dyDescent="0.3">
      <c r="P310"/>
      <c r="Q310"/>
    </row>
    <row r="311" spans="16:17" x14ac:dyDescent="0.3">
      <c r="P311"/>
      <c r="Q311"/>
    </row>
    <row r="312" spans="16:17" x14ac:dyDescent="0.3">
      <c r="P312"/>
      <c r="Q312"/>
    </row>
    <row r="313" spans="16:17" x14ac:dyDescent="0.3">
      <c r="P313"/>
      <c r="Q313"/>
    </row>
    <row r="314" spans="16:17" x14ac:dyDescent="0.3">
      <c r="P314"/>
      <c r="Q314"/>
    </row>
    <row r="315" spans="16:17" x14ac:dyDescent="0.3">
      <c r="P315"/>
      <c r="Q315"/>
    </row>
    <row r="316" spans="16:17" x14ac:dyDescent="0.3">
      <c r="P316"/>
      <c r="Q316"/>
    </row>
    <row r="317" spans="16:17" x14ac:dyDescent="0.3">
      <c r="P317"/>
      <c r="Q317"/>
    </row>
    <row r="318" spans="16:17" x14ac:dyDescent="0.3">
      <c r="P318"/>
      <c r="Q318"/>
    </row>
    <row r="319" spans="16:17" x14ac:dyDescent="0.3">
      <c r="P319"/>
      <c r="Q319"/>
    </row>
    <row r="320" spans="16:17" x14ac:dyDescent="0.3">
      <c r="P320"/>
      <c r="Q320"/>
    </row>
    <row r="321" spans="16:17" x14ac:dyDescent="0.3">
      <c r="P321"/>
      <c r="Q321"/>
    </row>
    <row r="322" spans="16:17" x14ac:dyDescent="0.3">
      <c r="P322"/>
      <c r="Q322"/>
    </row>
    <row r="323" spans="16:17" x14ac:dyDescent="0.3">
      <c r="P323"/>
      <c r="Q323"/>
    </row>
    <row r="324" spans="16:17" x14ac:dyDescent="0.3">
      <c r="P324"/>
      <c r="Q324"/>
    </row>
    <row r="325" spans="16:17" x14ac:dyDescent="0.3">
      <c r="P325"/>
      <c r="Q325"/>
    </row>
    <row r="326" spans="16:17" x14ac:dyDescent="0.3">
      <c r="P326"/>
      <c r="Q326"/>
    </row>
    <row r="327" spans="16:17" x14ac:dyDescent="0.3">
      <c r="P327"/>
      <c r="Q327"/>
    </row>
    <row r="328" spans="16:17" x14ac:dyDescent="0.3">
      <c r="P328"/>
      <c r="Q328"/>
    </row>
    <row r="329" spans="16:17" x14ac:dyDescent="0.3">
      <c r="P329"/>
      <c r="Q329"/>
    </row>
    <row r="330" spans="16:17" x14ac:dyDescent="0.3">
      <c r="P330"/>
      <c r="Q330"/>
    </row>
    <row r="331" spans="16:17" x14ac:dyDescent="0.3">
      <c r="P331"/>
      <c r="Q331"/>
    </row>
    <row r="332" spans="16:17" x14ac:dyDescent="0.3">
      <c r="P332"/>
      <c r="Q332"/>
    </row>
    <row r="333" spans="16:17" x14ac:dyDescent="0.3">
      <c r="P333"/>
      <c r="Q333"/>
    </row>
    <row r="334" spans="16:17" x14ac:dyDescent="0.3">
      <c r="P334"/>
      <c r="Q334"/>
    </row>
    <row r="335" spans="16:17" x14ac:dyDescent="0.3">
      <c r="P335"/>
      <c r="Q335"/>
    </row>
    <row r="336" spans="16:17" x14ac:dyDescent="0.3">
      <c r="P336"/>
      <c r="Q336"/>
    </row>
    <row r="337" spans="16:17" x14ac:dyDescent="0.3">
      <c r="P337"/>
      <c r="Q337"/>
    </row>
    <row r="338" spans="16:17" x14ac:dyDescent="0.3">
      <c r="P338"/>
      <c r="Q338"/>
    </row>
    <row r="339" spans="16:17" x14ac:dyDescent="0.3">
      <c r="P339"/>
      <c r="Q339"/>
    </row>
    <row r="340" spans="16:17" x14ac:dyDescent="0.3">
      <c r="P340"/>
      <c r="Q340"/>
    </row>
    <row r="341" spans="16:17" x14ac:dyDescent="0.3">
      <c r="P341"/>
      <c r="Q341"/>
    </row>
    <row r="342" spans="16:17" x14ac:dyDescent="0.3">
      <c r="P342"/>
      <c r="Q342"/>
    </row>
    <row r="343" spans="16:17" x14ac:dyDescent="0.3">
      <c r="P343"/>
      <c r="Q343"/>
    </row>
    <row r="344" spans="16:17" x14ac:dyDescent="0.3">
      <c r="P344"/>
      <c r="Q344"/>
    </row>
    <row r="345" spans="16:17" x14ac:dyDescent="0.3">
      <c r="P345"/>
      <c r="Q345"/>
    </row>
    <row r="346" spans="16:17" x14ac:dyDescent="0.3">
      <c r="P346"/>
      <c r="Q346"/>
    </row>
    <row r="347" spans="16:17" x14ac:dyDescent="0.3">
      <c r="P347"/>
      <c r="Q347"/>
    </row>
    <row r="348" spans="16:17" x14ac:dyDescent="0.3">
      <c r="P348"/>
      <c r="Q348"/>
    </row>
    <row r="349" spans="16:17" x14ac:dyDescent="0.3">
      <c r="P349"/>
      <c r="Q349"/>
    </row>
    <row r="350" spans="16:17" x14ac:dyDescent="0.3">
      <c r="P350"/>
      <c r="Q350"/>
    </row>
    <row r="351" spans="16:17" x14ac:dyDescent="0.3">
      <c r="P351"/>
      <c r="Q351"/>
    </row>
    <row r="352" spans="16:17" x14ac:dyDescent="0.3">
      <c r="P352"/>
      <c r="Q352"/>
    </row>
  </sheetData>
  <mergeCells count="9">
    <mergeCell ref="N23:O23"/>
    <mergeCell ref="N37:O37"/>
    <mergeCell ref="K47:L47"/>
    <mergeCell ref="B1:O1"/>
    <mergeCell ref="B3:G3"/>
    <mergeCell ref="K3:O3"/>
    <mergeCell ref="B12:C12"/>
    <mergeCell ref="K21:K22"/>
    <mergeCell ref="L21:L22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D612-EDCF-464B-8172-AD486A09F259}">
  <dimension ref="B1:AN352"/>
  <sheetViews>
    <sheetView zoomScaleNormal="100" workbookViewId="0">
      <selection activeCell="K18" sqref="K18"/>
    </sheetView>
  </sheetViews>
  <sheetFormatPr defaultColWidth="9.33203125" defaultRowHeight="14.4" x14ac:dyDescent="0.3"/>
  <cols>
    <col min="1" max="1" width="1.6640625" customWidth="1"/>
    <col min="2" max="2" width="35.6640625" bestFit="1" customWidth="1"/>
    <col min="3" max="3" width="15.44140625" customWidth="1"/>
    <col min="4" max="5" width="11.33203125" customWidth="1"/>
    <col min="6" max="6" width="32.44140625" bestFit="1" customWidth="1"/>
    <col min="7" max="7" width="10.33203125" customWidth="1"/>
    <col min="8" max="8" width="1.6640625" customWidth="1"/>
    <col min="9" max="10" width="2" customWidth="1"/>
    <col min="11" max="11" width="22.6640625" bestFit="1" customWidth="1"/>
    <col min="12" max="12" width="14.44140625" bestFit="1" customWidth="1"/>
    <col min="13" max="13" width="15.33203125" customWidth="1"/>
    <col min="14" max="14" width="22.6640625" bestFit="1" customWidth="1"/>
    <col min="15" max="15" width="14.44140625" bestFit="1" customWidth="1"/>
    <col min="16" max="16" width="11.44140625" style="1" bestFit="1" customWidth="1"/>
    <col min="17" max="17" width="18.44140625" style="1" bestFit="1" customWidth="1"/>
    <col min="18" max="18" width="18.44140625" hidden="1" customWidth="1"/>
    <col min="19" max="19" width="5.6640625" hidden="1" customWidth="1"/>
    <col min="20" max="39" width="12.33203125" bestFit="1" customWidth="1"/>
    <col min="40" max="40" width="13" bestFit="1" customWidth="1"/>
  </cols>
  <sheetData>
    <row r="1" spans="2:19" ht="28.8" x14ac:dyDescent="0.3"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15" thickBot="1" x14ac:dyDescent="0.35"/>
    <row r="3" spans="2:19" ht="18.600000000000001" thickBot="1" x14ac:dyDescent="0.4">
      <c r="B3" s="45" t="s">
        <v>66</v>
      </c>
      <c r="C3" s="45"/>
      <c r="D3" s="45"/>
      <c r="E3" s="45"/>
      <c r="F3" s="45"/>
      <c r="G3" s="45"/>
      <c r="K3" s="46" t="s">
        <v>65</v>
      </c>
      <c r="L3" s="47"/>
      <c r="M3" s="47"/>
      <c r="N3" s="47"/>
      <c r="O3" s="47"/>
      <c r="Q3"/>
    </row>
    <row r="4" spans="2:19" ht="15" thickBot="1" x14ac:dyDescent="0.35">
      <c r="C4" s="2"/>
      <c r="D4" s="2"/>
      <c r="E4" s="2"/>
      <c r="P4"/>
      <c r="Q4"/>
    </row>
    <row r="5" spans="2:19" ht="16.5" customHeight="1" thickBot="1" x14ac:dyDescent="0.35">
      <c r="B5" s="3" t="s">
        <v>1</v>
      </c>
      <c r="C5" s="4">
        <f>2+13</f>
        <v>15</v>
      </c>
      <c r="D5" s="5"/>
      <c r="E5" s="5" t="s">
        <v>2</v>
      </c>
      <c r="F5" s="6" t="s">
        <v>3</v>
      </c>
      <c r="G5" s="7" t="s">
        <v>4</v>
      </c>
      <c r="K5" s="6" t="s">
        <v>63</v>
      </c>
      <c r="L5" s="8" t="s">
        <v>5</v>
      </c>
      <c r="N5" s="6" t="s">
        <v>64</v>
      </c>
      <c r="O5" s="6"/>
      <c r="Q5"/>
      <c r="R5" s="9" t="s">
        <v>6</v>
      </c>
      <c r="S5" s="9" t="s">
        <v>7</v>
      </c>
    </row>
    <row r="6" spans="2:19" x14ac:dyDescent="0.3">
      <c r="B6" s="10" t="s">
        <v>8</v>
      </c>
      <c r="C6" s="11">
        <v>0</v>
      </c>
      <c r="D6" s="5"/>
      <c r="E6" s="12"/>
      <c r="F6" s="13" t="s">
        <v>9</v>
      </c>
      <c r="G6" s="14">
        <v>3</v>
      </c>
      <c r="K6" s="15" t="s">
        <v>10</v>
      </c>
      <c r="L6" s="16">
        <f>3+2</f>
        <v>5</v>
      </c>
      <c r="N6" s="17" t="s">
        <v>9</v>
      </c>
      <c r="O6" s="14">
        <f>2</f>
        <v>2</v>
      </c>
      <c r="P6" s="18"/>
      <c r="Q6"/>
      <c r="R6" s="17" t="s">
        <v>11</v>
      </c>
      <c r="S6" s="19">
        <v>3</v>
      </c>
    </row>
    <row r="7" spans="2:19" ht="15" customHeight="1" x14ac:dyDescent="0.3">
      <c r="B7" s="10" t="s">
        <v>12</v>
      </c>
      <c r="C7" s="11">
        <f>1+16</f>
        <v>17</v>
      </c>
      <c r="D7" s="5"/>
      <c r="E7" s="12"/>
      <c r="F7" s="20" t="s">
        <v>11</v>
      </c>
      <c r="G7" s="14">
        <v>2</v>
      </c>
      <c r="K7" s="15" t="s">
        <v>13</v>
      </c>
      <c r="L7" s="16"/>
      <c r="N7" s="21" t="s">
        <v>11</v>
      </c>
      <c r="O7" s="14">
        <v>0</v>
      </c>
      <c r="P7" s="18"/>
      <c r="Q7"/>
      <c r="R7" s="21" t="s">
        <v>14</v>
      </c>
      <c r="S7" s="22">
        <v>6</v>
      </c>
    </row>
    <row r="8" spans="2:19" x14ac:dyDescent="0.3">
      <c r="B8" s="10" t="s">
        <v>15</v>
      </c>
      <c r="C8" s="23">
        <f>1</f>
        <v>1</v>
      </c>
      <c r="D8" s="12"/>
      <c r="E8" s="12"/>
      <c r="F8" s="21" t="s">
        <v>16</v>
      </c>
      <c r="G8" s="14">
        <v>4</v>
      </c>
      <c r="K8" s="15" t="s">
        <v>17</v>
      </c>
      <c r="L8" s="24"/>
      <c r="N8" s="21" t="s">
        <v>16</v>
      </c>
      <c r="O8" s="14">
        <v>0</v>
      </c>
      <c r="P8" s="18"/>
      <c r="Q8"/>
      <c r="R8" s="21" t="s">
        <v>18</v>
      </c>
      <c r="S8" s="22">
        <v>6</v>
      </c>
    </row>
    <row r="9" spans="2:19" x14ac:dyDescent="0.3">
      <c r="B9" s="10" t="s">
        <v>19</v>
      </c>
      <c r="C9" s="23">
        <f>3</f>
        <v>3</v>
      </c>
      <c r="D9" s="12"/>
      <c r="E9" s="12"/>
      <c r="F9" s="21" t="s">
        <v>14</v>
      </c>
      <c r="G9" s="14">
        <v>1</v>
      </c>
      <c r="K9" s="15" t="s">
        <v>20</v>
      </c>
      <c r="L9" s="24"/>
      <c r="M9" s="18"/>
      <c r="N9" s="21" t="s">
        <v>14</v>
      </c>
      <c r="O9" s="14">
        <v>0</v>
      </c>
      <c r="P9" s="18"/>
      <c r="Q9"/>
      <c r="R9" s="21" t="s">
        <v>21</v>
      </c>
      <c r="S9" s="22">
        <v>1</v>
      </c>
    </row>
    <row r="10" spans="2:19" x14ac:dyDescent="0.3">
      <c r="B10" s="10" t="s">
        <v>22</v>
      </c>
      <c r="C10" s="23">
        <f>3+2</f>
        <v>5</v>
      </c>
      <c r="D10" s="12"/>
      <c r="E10" s="12"/>
      <c r="F10" s="21" t="s">
        <v>27</v>
      </c>
      <c r="G10" s="14">
        <v>3</v>
      </c>
      <c r="K10" s="15" t="s">
        <v>24</v>
      </c>
      <c r="L10" s="24"/>
      <c r="N10" s="21" t="s">
        <v>27</v>
      </c>
      <c r="O10" s="14">
        <v>0</v>
      </c>
      <c r="P10" s="18"/>
      <c r="R10" s="21" t="s">
        <v>25</v>
      </c>
      <c r="S10" s="22">
        <v>6</v>
      </c>
    </row>
    <row r="11" spans="2:19" ht="15" thickBot="1" x14ac:dyDescent="0.35">
      <c r="B11" s="25" t="s">
        <v>26</v>
      </c>
      <c r="C11" s="26">
        <f>3+2</f>
        <v>5</v>
      </c>
      <c r="D11" s="12"/>
      <c r="E11" s="12"/>
      <c r="F11" s="21" t="s">
        <v>30</v>
      </c>
      <c r="G11" s="14">
        <v>4</v>
      </c>
      <c r="K11" s="15" t="s">
        <v>28</v>
      </c>
      <c r="L11" s="24"/>
      <c r="N11" s="21" t="s">
        <v>30</v>
      </c>
      <c r="O11" s="14">
        <v>0</v>
      </c>
      <c r="P11" s="18"/>
      <c r="R11" s="21" t="s">
        <v>29</v>
      </c>
      <c r="S11" s="22">
        <v>7</v>
      </c>
    </row>
    <row r="12" spans="2:19" ht="15" thickBot="1" x14ac:dyDescent="0.35">
      <c r="B12" s="48"/>
      <c r="C12" s="49"/>
      <c r="D12" s="12"/>
      <c r="F12" s="21" t="s">
        <v>59</v>
      </c>
      <c r="G12" s="14">
        <v>0</v>
      </c>
      <c r="K12" s="15" t="s">
        <v>31</v>
      </c>
      <c r="L12" s="24"/>
      <c r="N12" s="21" t="s">
        <v>59</v>
      </c>
      <c r="O12" s="14">
        <v>0</v>
      </c>
      <c r="P12" s="18"/>
      <c r="R12" s="21" t="s">
        <v>32</v>
      </c>
      <c r="S12" s="22">
        <v>3</v>
      </c>
    </row>
    <row r="13" spans="2:19" ht="15" thickBot="1" x14ac:dyDescent="0.35">
      <c r="B13" s="27" t="s">
        <v>3</v>
      </c>
      <c r="C13" s="8" t="s">
        <v>7</v>
      </c>
      <c r="D13" s="12"/>
      <c r="F13" s="21" t="s">
        <v>58</v>
      </c>
      <c r="G13" s="14">
        <v>0</v>
      </c>
      <c r="K13" s="15" t="s">
        <v>34</v>
      </c>
      <c r="L13" s="24"/>
      <c r="N13" s="21" t="s">
        <v>58</v>
      </c>
      <c r="O13" s="14">
        <v>0</v>
      </c>
      <c r="P13" s="18"/>
      <c r="R13" s="21" t="s">
        <v>35</v>
      </c>
      <c r="S13" s="22">
        <v>1</v>
      </c>
    </row>
    <row r="14" spans="2:19" ht="15" thickBot="1" x14ac:dyDescent="0.35">
      <c r="B14" s="13" t="s">
        <v>9</v>
      </c>
      <c r="C14" s="28">
        <v>2</v>
      </c>
      <c r="F14" s="21" t="s">
        <v>33</v>
      </c>
      <c r="G14" s="14">
        <v>0</v>
      </c>
      <c r="K14" s="15" t="s">
        <v>37</v>
      </c>
      <c r="L14" s="24"/>
      <c r="N14" s="21" t="s">
        <v>38</v>
      </c>
      <c r="O14" s="14">
        <v>1</v>
      </c>
      <c r="P14" s="18"/>
      <c r="R14" s="30" t="s">
        <v>39</v>
      </c>
      <c r="S14" s="22">
        <v>1</v>
      </c>
    </row>
    <row r="15" spans="2:19" ht="15" thickBot="1" x14ac:dyDescent="0.35">
      <c r="B15" s="20" t="s">
        <v>11</v>
      </c>
      <c r="C15" s="14">
        <v>0</v>
      </c>
      <c r="F15" s="21" t="s">
        <v>36</v>
      </c>
      <c r="G15" s="29">
        <v>0</v>
      </c>
      <c r="K15" s="15" t="s">
        <v>41</v>
      </c>
      <c r="L15" s="24"/>
      <c r="N15" s="21" t="s">
        <v>42</v>
      </c>
      <c r="O15" s="14">
        <v>2</v>
      </c>
      <c r="P15" s="18"/>
      <c r="R15" s="32" t="s">
        <v>43</v>
      </c>
      <c r="S15" s="9">
        <v>34</v>
      </c>
    </row>
    <row r="16" spans="2:19" ht="15" customHeight="1" thickBot="1" x14ac:dyDescent="0.35">
      <c r="B16" s="20" t="s">
        <v>16</v>
      </c>
      <c r="C16" s="14">
        <v>0</v>
      </c>
      <c r="F16" s="31" t="s">
        <v>40</v>
      </c>
      <c r="G16" s="7">
        <f>SUM(G6:G15)</f>
        <v>17</v>
      </c>
      <c r="K16" s="15" t="s">
        <v>44</v>
      </c>
      <c r="L16" s="24"/>
      <c r="N16" s="33" t="s">
        <v>45</v>
      </c>
      <c r="O16" s="14">
        <v>0</v>
      </c>
    </row>
    <row r="17" spans="2:38" ht="15" customHeight="1" thickBot="1" x14ac:dyDescent="0.35">
      <c r="B17" s="20" t="s">
        <v>14</v>
      </c>
      <c r="C17" s="14">
        <v>0</v>
      </c>
      <c r="K17" s="15" t="s">
        <v>46</v>
      </c>
      <c r="L17" s="24"/>
      <c r="N17" s="21" t="s">
        <v>21</v>
      </c>
      <c r="O17" s="14">
        <v>0</v>
      </c>
    </row>
    <row r="18" spans="2:38" ht="15" thickBot="1" x14ac:dyDescent="0.35">
      <c r="B18" s="20" t="s">
        <v>23</v>
      </c>
      <c r="C18" s="14">
        <v>0</v>
      </c>
      <c r="K18" s="7" t="s">
        <v>63</v>
      </c>
      <c r="L18" s="34">
        <f>SUM(L6:L17)</f>
        <v>5</v>
      </c>
      <c r="N18" s="21" t="s">
        <v>47</v>
      </c>
      <c r="O18" s="14">
        <v>0</v>
      </c>
    </row>
    <row r="19" spans="2:38" ht="15" thickBot="1" x14ac:dyDescent="0.35">
      <c r="B19" s="21" t="s">
        <v>27</v>
      </c>
      <c r="C19" s="14">
        <v>0</v>
      </c>
      <c r="N19" s="7" t="s">
        <v>48</v>
      </c>
      <c r="O19" s="7">
        <f>SUM(O6:O18)</f>
        <v>5</v>
      </c>
    </row>
    <row r="20" spans="2:38" ht="15" customHeight="1" thickBot="1" x14ac:dyDescent="0.35">
      <c r="B20" s="21" t="s">
        <v>30</v>
      </c>
      <c r="C20" s="14">
        <v>0</v>
      </c>
      <c r="N20" s="35"/>
      <c r="O20" s="35"/>
    </row>
    <row r="21" spans="2:38" ht="15" customHeight="1" x14ac:dyDescent="0.3">
      <c r="B21" s="20" t="s">
        <v>25</v>
      </c>
      <c r="C21" s="14">
        <v>0</v>
      </c>
      <c r="K21" s="50" t="s">
        <v>49</v>
      </c>
      <c r="L21" s="52">
        <f>L18/1</f>
        <v>5</v>
      </c>
      <c r="N21" s="35"/>
      <c r="O21" s="35"/>
    </row>
    <row r="22" spans="2:38" s="1" customFormat="1" ht="15" customHeight="1" thickBot="1" x14ac:dyDescent="0.35">
      <c r="B22" s="20" t="s">
        <v>42</v>
      </c>
      <c r="C22" s="14">
        <v>0</v>
      </c>
      <c r="D22"/>
      <c r="F22" s="36"/>
      <c r="G22"/>
      <c r="K22" s="51"/>
      <c r="L22" s="53"/>
      <c r="N22"/>
      <c r="O22"/>
      <c r="R22"/>
      <c r="S22"/>
    </row>
    <row r="23" spans="2:38" s="1" customFormat="1" ht="15" customHeight="1" thickBot="1" x14ac:dyDescent="0.35">
      <c r="B23" s="20" t="s">
        <v>50</v>
      </c>
      <c r="C23" s="14">
        <v>0</v>
      </c>
      <c r="D23"/>
      <c r="F23"/>
      <c r="G23"/>
      <c r="N23" s="40" t="s">
        <v>61</v>
      </c>
      <c r="O23" s="41"/>
      <c r="R23"/>
      <c r="S23"/>
    </row>
    <row r="24" spans="2:38" s="1" customFormat="1" ht="15" customHeight="1" x14ac:dyDescent="0.3">
      <c r="B24" s="20" t="s">
        <v>21</v>
      </c>
      <c r="C24" s="14">
        <v>0</v>
      </c>
      <c r="F24"/>
      <c r="G24"/>
      <c r="N24" s="17" t="s">
        <v>9</v>
      </c>
      <c r="O24" s="14">
        <f>3</f>
        <v>3</v>
      </c>
      <c r="R24"/>
      <c r="S24"/>
    </row>
    <row r="25" spans="2:38" s="1" customFormat="1" ht="15" customHeight="1" x14ac:dyDescent="0.3">
      <c r="B25" s="21" t="s">
        <v>57</v>
      </c>
      <c r="C25" s="14">
        <v>0</v>
      </c>
      <c r="F25"/>
      <c r="G25"/>
      <c r="N25" s="21" t="s">
        <v>11</v>
      </c>
      <c r="O25" s="14">
        <f>2</f>
        <v>2</v>
      </c>
      <c r="R25"/>
      <c r="S25"/>
    </row>
    <row r="26" spans="2:38" s="1" customFormat="1" ht="15" customHeight="1" x14ac:dyDescent="0.3">
      <c r="B26" s="21" t="s">
        <v>51</v>
      </c>
      <c r="C26" s="14">
        <v>0</v>
      </c>
      <c r="G26"/>
      <c r="N26" s="21" t="s">
        <v>16</v>
      </c>
      <c r="O26" s="14">
        <f>4</f>
        <v>4</v>
      </c>
      <c r="P26"/>
    </row>
    <row r="27" spans="2:38" s="1" customFormat="1" x14ac:dyDescent="0.3">
      <c r="B27" s="21" t="s">
        <v>52</v>
      </c>
      <c r="C27" s="14">
        <v>0</v>
      </c>
      <c r="G27"/>
      <c r="N27" s="21" t="s">
        <v>14</v>
      </c>
      <c r="O27" s="14">
        <f>1</f>
        <v>1</v>
      </c>
      <c r="P27"/>
      <c r="Q27"/>
    </row>
    <row r="28" spans="2:38" s="1" customFormat="1" x14ac:dyDescent="0.3">
      <c r="B28" s="21" t="s">
        <v>53</v>
      </c>
      <c r="C28" s="14">
        <v>0</v>
      </c>
      <c r="E28" s="37"/>
      <c r="F28"/>
      <c r="G28"/>
      <c r="N28" s="21" t="s">
        <v>27</v>
      </c>
      <c r="O28" s="14">
        <f>1+3</f>
        <v>4</v>
      </c>
      <c r="P28"/>
      <c r="Q28"/>
    </row>
    <row r="29" spans="2:38" s="1" customFormat="1" x14ac:dyDescent="0.3">
      <c r="B29" s="21" t="s">
        <v>54</v>
      </c>
      <c r="C29" s="14">
        <v>0</v>
      </c>
      <c r="F29"/>
      <c r="G29"/>
      <c r="N29" s="21" t="s">
        <v>30</v>
      </c>
      <c r="O29" s="14">
        <f>4</f>
        <v>4</v>
      </c>
      <c r="P29"/>
      <c r="Q29"/>
    </row>
    <row r="30" spans="2:38" s="1" customFormat="1" ht="15" thickBot="1" x14ac:dyDescent="0.35">
      <c r="B30" s="30" t="s">
        <v>55</v>
      </c>
      <c r="C30" s="14">
        <v>0</v>
      </c>
      <c r="F30"/>
      <c r="G30"/>
      <c r="N30" s="21" t="s">
        <v>59</v>
      </c>
      <c r="O30" s="14">
        <v>0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2:38" s="1" customFormat="1" ht="15" thickBot="1" x14ac:dyDescent="0.35">
      <c r="B31" s="38" t="s">
        <v>56</v>
      </c>
      <c r="C31" s="7">
        <f>SUM(C14:C30)</f>
        <v>2</v>
      </c>
      <c r="N31" s="21" t="s">
        <v>58</v>
      </c>
      <c r="O31" s="14">
        <v>0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2:38" s="1" customFormat="1" x14ac:dyDescent="0.3">
      <c r="C32"/>
      <c r="N32" s="21" t="s">
        <v>33</v>
      </c>
      <c r="O32" s="14">
        <v>0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2:40" s="1" customFormat="1" ht="15" thickBot="1" x14ac:dyDescent="0.35">
      <c r="N33" s="21" t="s">
        <v>47</v>
      </c>
      <c r="O33" s="14">
        <v>0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2:40" s="1" customFormat="1" ht="15" thickBot="1" x14ac:dyDescent="0.35">
      <c r="N34" s="7" t="s">
        <v>48</v>
      </c>
      <c r="O34" s="7">
        <f>SUM(O24:O33)</f>
        <v>18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2:40" s="1" customFormat="1" x14ac:dyDescent="0.3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2:40" s="1" customFormat="1" ht="15" thickBot="1" x14ac:dyDescent="0.3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s="1" customFormat="1" ht="15" thickBot="1" x14ac:dyDescent="0.35">
      <c r="K37"/>
      <c r="L37"/>
      <c r="N37" s="40" t="s">
        <v>62</v>
      </c>
      <c r="O37" s="4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2:40" s="1" customFormat="1" x14ac:dyDescent="0.3">
      <c r="K38"/>
      <c r="L38"/>
      <c r="N38" s="17" t="s">
        <v>9</v>
      </c>
      <c r="O38" s="14">
        <f>5</f>
        <v>5</v>
      </c>
      <c r="P38"/>
      <c r="R38"/>
      <c r="S38"/>
    </row>
    <row r="39" spans="2:40" x14ac:dyDescent="0.3">
      <c r="B39" s="1"/>
      <c r="C39" s="1"/>
      <c r="D39" s="1"/>
      <c r="F39" s="1"/>
      <c r="G39" s="1"/>
      <c r="N39" s="21" t="s">
        <v>11</v>
      </c>
      <c r="O39" s="14">
        <f>1</f>
        <v>1</v>
      </c>
      <c r="P39"/>
    </row>
    <row r="40" spans="2:40" s="1" customFormat="1" x14ac:dyDescent="0.3">
      <c r="K40"/>
      <c r="L40"/>
      <c r="N40" s="21" t="s">
        <v>16</v>
      </c>
      <c r="O40" s="14">
        <f>4</f>
        <v>4</v>
      </c>
      <c r="P40"/>
      <c r="R40"/>
      <c r="S40"/>
    </row>
    <row r="41" spans="2:40" x14ac:dyDescent="0.3">
      <c r="B41" s="1"/>
      <c r="C41" s="1"/>
      <c r="F41" s="1"/>
      <c r="G41" s="1"/>
      <c r="N41" s="21" t="s">
        <v>14</v>
      </c>
      <c r="O41" s="14">
        <v>0</v>
      </c>
      <c r="P41"/>
    </row>
    <row r="42" spans="2:40" s="1" customFormat="1" x14ac:dyDescent="0.3">
      <c r="F42"/>
      <c r="G42"/>
      <c r="K42"/>
      <c r="L42"/>
      <c r="N42" s="21" t="s">
        <v>27</v>
      </c>
      <c r="O42" s="14">
        <v>0</v>
      </c>
      <c r="P42"/>
      <c r="R42"/>
      <c r="S42"/>
    </row>
    <row r="43" spans="2:40" x14ac:dyDescent="0.3">
      <c r="B43" s="1"/>
      <c r="C43" s="1"/>
      <c r="N43" s="21" t="s">
        <v>30</v>
      </c>
      <c r="O43" s="14">
        <f>1+3</f>
        <v>4</v>
      </c>
      <c r="P43"/>
      <c r="Q43"/>
    </row>
    <row r="44" spans="2:40" x14ac:dyDescent="0.3">
      <c r="C44" s="1"/>
      <c r="D44" s="1"/>
      <c r="N44" s="21" t="s">
        <v>59</v>
      </c>
      <c r="O44" s="14">
        <v>1</v>
      </c>
      <c r="P44"/>
      <c r="Q44"/>
    </row>
    <row r="45" spans="2:40" x14ac:dyDescent="0.3">
      <c r="N45" s="21" t="s">
        <v>58</v>
      </c>
      <c r="O45" s="14">
        <v>0</v>
      </c>
      <c r="P45"/>
      <c r="Q45"/>
    </row>
    <row r="46" spans="2:40" ht="15" customHeight="1" x14ac:dyDescent="0.3">
      <c r="N46" s="21" t="s">
        <v>33</v>
      </c>
      <c r="O46" s="14">
        <v>0</v>
      </c>
      <c r="P46"/>
      <c r="Q46"/>
    </row>
    <row r="47" spans="2:40" ht="15" thickBot="1" x14ac:dyDescent="0.35">
      <c r="K47" s="42"/>
      <c r="L47" s="42"/>
      <c r="N47" s="21" t="s">
        <v>47</v>
      </c>
      <c r="O47" s="14">
        <v>0</v>
      </c>
      <c r="P47"/>
      <c r="Q47"/>
    </row>
    <row r="48" spans="2:40" ht="15" thickBot="1" x14ac:dyDescent="0.35">
      <c r="N48" s="7" t="s">
        <v>48</v>
      </c>
      <c r="O48" s="7">
        <f>SUM(O38:O47)</f>
        <v>15</v>
      </c>
      <c r="P48"/>
      <c r="Q48"/>
    </row>
    <row r="49" spans="16:17" x14ac:dyDescent="0.3">
      <c r="P49"/>
      <c r="Q49"/>
    </row>
    <row r="50" spans="16:17" x14ac:dyDescent="0.3">
      <c r="P50"/>
      <c r="Q50"/>
    </row>
    <row r="51" spans="16:17" x14ac:dyDescent="0.3">
      <c r="P51"/>
      <c r="Q51"/>
    </row>
    <row r="52" spans="16:17" x14ac:dyDescent="0.3">
      <c r="P52"/>
      <c r="Q52"/>
    </row>
    <row r="53" spans="16:17" x14ac:dyDescent="0.3">
      <c r="P53"/>
      <c r="Q53"/>
    </row>
    <row r="54" spans="16:17" x14ac:dyDescent="0.3">
      <c r="P54"/>
      <c r="Q54"/>
    </row>
    <row r="55" spans="16:17" x14ac:dyDescent="0.3">
      <c r="P55"/>
      <c r="Q55"/>
    </row>
    <row r="56" spans="16:17" x14ac:dyDescent="0.3">
      <c r="P56"/>
      <c r="Q56"/>
    </row>
    <row r="57" spans="16:17" x14ac:dyDescent="0.3">
      <c r="P57"/>
      <c r="Q57"/>
    </row>
    <row r="58" spans="16:17" x14ac:dyDescent="0.3">
      <c r="P58"/>
      <c r="Q58"/>
    </row>
    <row r="59" spans="16:17" x14ac:dyDescent="0.3">
      <c r="P59"/>
      <c r="Q59"/>
    </row>
    <row r="60" spans="16:17" x14ac:dyDescent="0.3">
      <c r="P60"/>
      <c r="Q60"/>
    </row>
    <row r="61" spans="16:17" x14ac:dyDescent="0.3">
      <c r="P61"/>
      <c r="Q61"/>
    </row>
    <row r="62" spans="16:17" x14ac:dyDescent="0.3">
      <c r="P62"/>
      <c r="Q62"/>
    </row>
    <row r="63" spans="16:17" x14ac:dyDescent="0.3">
      <c r="P63"/>
      <c r="Q63"/>
    </row>
    <row r="64" spans="16:17" x14ac:dyDescent="0.3">
      <c r="P64"/>
      <c r="Q64"/>
    </row>
    <row r="65" spans="16:17" x14ac:dyDescent="0.3">
      <c r="P65"/>
      <c r="Q65"/>
    </row>
    <row r="66" spans="16:17" x14ac:dyDescent="0.3">
      <c r="P66"/>
      <c r="Q66"/>
    </row>
    <row r="67" spans="16:17" x14ac:dyDescent="0.3">
      <c r="P67"/>
      <c r="Q67"/>
    </row>
    <row r="68" spans="16:17" x14ac:dyDescent="0.3">
      <c r="P68"/>
      <c r="Q68"/>
    </row>
    <row r="69" spans="16:17" x14ac:dyDescent="0.3">
      <c r="P69"/>
      <c r="Q69"/>
    </row>
    <row r="70" spans="16:17" x14ac:dyDescent="0.3">
      <c r="P70"/>
      <c r="Q70"/>
    </row>
    <row r="71" spans="16:17" x14ac:dyDescent="0.3">
      <c r="P71"/>
      <c r="Q71"/>
    </row>
    <row r="72" spans="16:17" x14ac:dyDescent="0.3">
      <c r="P72"/>
      <c r="Q72"/>
    </row>
    <row r="73" spans="16:17" x14ac:dyDescent="0.3">
      <c r="P73"/>
      <c r="Q73"/>
    </row>
    <row r="74" spans="16:17" x14ac:dyDescent="0.3">
      <c r="P74"/>
      <c r="Q74"/>
    </row>
    <row r="75" spans="16:17" x14ac:dyDescent="0.3">
      <c r="P75"/>
      <c r="Q75"/>
    </row>
    <row r="76" spans="16:17" x14ac:dyDescent="0.3">
      <c r="P76"/>
      <c r="Q76"/>
    </row>
    <row r="77" spans="16:17" x14ac:dyDescent="0.3">
      <c r="P77"/>
      <c r="Q77"/>
    </row>
    <row r="78" spans="16:17" x14ac:dyDescent="0.3">
      <c r="P78"/>
      <c r="Q78"/>
    </row>
    <row r="79" spans="16:17" x14ac:dyDescent="0.3">
      <c r="P79"/>
      <c r="Q79"/>
    </row>
    <row r="80" spans="16:17" x14ac:dyDescent="0.3">
      <c r="P80"/>
      <c r="Q80"/>
    </row>
    <row r="81" spans="16:17" x14ac:dyDescent="0.3">
      <c r="P81"/>
      <c r="Q81"/>
    </row>
    <row r="82" spans="16:17" x14ac:dyDescent="0.3">
      <c r="P82"/>
      <c r="Q82"/>
    </row>
    <row r="83" spans="16:17" x14ac:dyDescent="0.3">
      <c r="P83"/>
      <c r="Q83"/>
    </row>
    <row r="84" spans="16:17" x14ac:dyDescent="0.3">
      <c r="P84"/>
      <c r="Q84"/>
    </row>
    <row r="85" spans="16:17" x14ac:dyDescent="0.3">
      <c r="P85"/>
      <c r="Q85"/>
    </row>
    <row r="86" spans="16:17" x14ac:dyDescent="0.3">
      <c r="P86"/>
      <c r="Q86"/>
    </row>
    <row r="87" spans="16:17" x14ac:dyDescent="0.3">
      <c r="P87"/>
      <c r="Q87"/>
    </row>
    <row r="88" spans="16:17" x14ac:dyDescent="0.3">
      <c r="P88"/>
      <c r="Q88"/>
    </row>
    <row r="89" spans="16:17" x14ac:dyDescent="0.3">
      <c r="P89"/>
      <c r="Q89"/>
    </row>
    <row r="90" spans="16:17" x14ac:dyDescent="0.3">
      <c r="P90"/>
      <c r="Q90"/>
    </row>
    <row r="91" spans="16:17" x14ac:dyDescent="0.3">
      <c r="P91"/>
      <c r="Q91"/>
    </row>
    <row r="92" spans="16:17" x14ac:dyDescent="0.3">
      <c r="P92"/>
      <c r="Q92"/>
    </row>
    <row r="93" spans="16:17" x14ac:dyDescent="0.3">
      <c r="P93"/>
      <c r="Q93"/>
    </row>
    <row r="94" spans="16:17" x14ac:dyDescent="0.3">
      <c r="P94"/>
      <c r="Q94"/>
    </row>
    <row r="95" spans="16:17" x14ac:dyDescent="0.3">
      <c r="P95"/>
      <c r="Q95"/>
    </row>
    <row r="96" spans="16:17" x14ac:dyDescent="0.3">
      <c r="P96"/>
      <c r="Q96"/>
    </row>
    <row r="97" spans="16:17" x14ac:dyDescent="0.3">
      <c r="P97"/>
      <c r="Q97"/>
    </row>
    <row r="98" spans="16:17" x14ac:dyDescent="0.3">
      <c r="P98"/>
      <c r="Q98"/>
    </row>
    <row r="99" spans="16:17" x14ac:dyDescent="0.3">
      <c r="P99"/>
      <c r="Q99"/>
    </row>
    <row r="100" spans="16:17" x14ac:dyDescent="0.3">
      <c r="P100"/>
      <c r="Q100"/>
    </row>
    <row r="101" spans="16:17" x14ac:dyDescent="0.3">
      <c r="P101"/>
      <c r="Q101"/>
    </row>
    <row r="102" spans="16:17" x14ac:dyDescent="0.3">
      <c r="P102"/>
      <c r="Q102"/>
    </row>
    <row r="103" spans="16:17" x14ac:dyDescent="0.3">
      <c r="P103"/>
      <c r="Q103"/>
    </row>
    <row r="104" spans="16:17" x14ac:dyDescent="0.3">
      <c r="P104"/>
      <c r="Q104"/>
    </row>
    <row r="105" spans="16:17" x14ac:dyDescent="0.3">
      <c r="P105"/>
      <c r="Q105"/>
    </row>
    <row r="106" spans="16:17" x14ac:dyDescent="0.3">
      <c r="P106"/>
      <c r="Q106"/>
    </row>
    <row r="107" spans="16:17" x14ac:dyDescent="0.3">
      <c r="P107"/>
      <c r="Q107"/>
    </row>
    <row r="108" spans="16:17" x14ac:dyDescent="0.3">
      <c r="P108"/>
      <c r="Q108"/>
    </row>
    <row r="109" spans="16:17" x14ac:dyDescent="0.3">
      <c r="P109"/>
      <c r="Q109"/>
    </row>
    <row r="110" spans="16:17" x14ac:dyDescent="0.3">
      <c r="P110"/>
      <c r="Q110"/>
    </row>
    <row r="111" spans="16:17" x14ac:dyDescent="0.3">
      <c r="P111"/>
      <c r="Q111"/>
    </row>
    <row r="112" spans="16:17" x14ac:dyDescent="0.3">
      <c r="P112"/>
      <c r="Q112"/>
    </row>
    <row r="113" spans="16:17" x14ac:dyDescent="0.3">
      <c r="P113"/>
      <c r="Q113"/>
    </row>
    <row r="114" spans="16:17" x14ac:dyDescent="0.3">
      <c r="P114"/>
      <c r="Q114"/>
    </row>
    <row r="115" spans="16:17" x14ac:dyDescent="0.3">
      <c r="P115"/>
      <c r="Q115"/>
    </row>
    <row r="116" spans="16:17" x14ac:dyDescent="0.3">
      <c r="P116"/>
      <c r="Q116"/>
    </row>
    <row r="117" spans="16:17" x14ac:dyDescent="0.3">
      <c r="P117"/>
      <c r="Q117"/>
    </row>
    <row r="118" spans="16:17" x14ac:dyDescent="0.3">
      <c r="P118"/>
      <c r="Q118"/>
    </row>
    <row r="119" spans="16:17" x14ac:dyDescent="0.3">
      <c r="P119"/>
      <c r="Q119"/>
    </row>
    <row r="120" spans="16:17" x14ac:dyDescent="0.3">
      <c r="P120"/>
      <c r="Q120"/>
    </row>
    <row r="121" spans="16:17" x14ac:dyDescent="0.3">
      <c r="P121"/>
      <c r="Q121"/>
    </row>
    <row r="122" spans="16:17" x14ac:dyDescent="0.3">
      <c r="P122"/>
      <c r="Q122"/>
    </row>
    <row r="123" spans="16:17" x14ac:dyDescent="0.3">
      <c r="P123"/>
      <c r="Q123"/>
    </row>
    <row r="124" spans="16:17" x14ac:dyDescent="0.3">
      <c r="P124"/>
      <c r="Q124"/>
    </row>
    <row r="125" spans="16:17" x14ac:dyDescent="0.3">
      <c r="P125"/>
      <c r="Q125"/>
    </row>
    <row r="126" spans="16:17" x14ac:dyDescent="0.3">
      <c r="P126"/>
      <c r="Q126"/>
    </row>
    <row r="127" spans="16:17" x14ac:dyDescent="0.3">
      <c r="P127"/>
      <c r="Q127"/>
    </row>
    <row r="128" spans="16:17" x14ac:dyDescent="0.3">
      <c r="P128"/>
      <c r="Q128"/>
    </row>
    <row r="129" spans="16:17" x14ac:dyDescent="0.3">
      <c r="P129"/>
      <c r="Q129"/>
    </row>
    <row r="130" spans="16:17" x14ac:dyDescent="0.3">
      <c r="P130"/>
      <c r="Q130"/>
    </row>
    <row r="131" spans="16:17" x14ac:dyDescent="0.3">
      <c r="P131"/>
      <c r="Q131"/>
    </row>
    <row r="132" spans="16:17" x14ac:dyDescent="0.3">
      <c r="P132"/>
      <c r="Q132"/>
    </row>
    <row r="133" spans="16:17" x14ac:dyDescent="0.3">
      <c r="P133"/>
      <c r="Q133"/>
    </row>
    <row r="134" spans="16:17" x14ac:dyDescent="0.3">
      <c r="P134"/>
      <c r="Q134"/>
    </row>
    <row r="135" spans="16:17" x14ac:dyDescent="0.3">
      <c r="P135"/>
      <c r="Q135"/>
    </row>
    <row r="136" spans="16:17" x14ac:dyDescent="0.3">
      <c r="P136"/>
      <c r="Q136"/>
    </row>
    <row r="137" spans="16:17" x14ac:dyDescent="0.3">
      <c r="P137"/>
      <c r="Q137"/>
    </row>
    <row r="138" spans="16:17" x14ac:dyDescent="0.3">
      <c r="P138"/>
      <c r="Q138"/>
    </row>
    <row r="139" spans="16:17" x14ac:dyDescent="0.3">
      <c r="P139"/>
      <c r="Q139"/>
    </row>
    <row r="140" spans="16:17" x14ac:dyDescent="0.3">
      <c r="P140"/>
      <c r="Q140"/>
    </row>
    <row r="141" spans="16:17" x14ac:dyDescent="0.3">
      <c r="P141"/>
      <c r="Q141"/>
    </row>
    <row r="142" spans="16:17" x14ac:dyDescent="0.3">
      <c r="P142"/>
      <c r="Q142"/>
    </row>
    <row r="143" spans="16:17" x14ac:dyDescent="0.3">
      <c r="P143"/>
      <c r="Q143"/>
    </row>
    <row r="144" spans="16:17" x14ac:dyDescent="0.3">
      <c r="P144"/>
      <c r="Q144"/>
    </row>
    <row r="145" spans="16:17" x14ac:dyDescent="0.3">
      <c r="P145"/>
      <c r="Q145"/>
    </row>
    <row r="146" spans="16:17" x14ac:dyDescent="0.3">
      <c r="P146"/>
      <c r="Q146"/>
    </row>
    <row r="147" spans="16:17" x14ac:dyDescent="0.3">
      <c r="P147"/>
      <c r="Q147"/>
    </row>
    <row r="148" spans="16:17" x14ac:dyDescent="0.3">
      <c r="P148"/>
      <c r="Q148"/>
    </row>
    <row r="149" spans="16:17" x14ac:dyDescent="0.3">
      <c r="P149"/>
      <c r="Q149"/>
    </row>
    <row r="150" spans="16:17" x14ac:dyDescent="0.3">
      <c r="P150"/>
      <c r="Q150"/>
    </row>
    <row r="151" spans="16:17" x14ac:dyDescent="0.3">
      <c r="P151"/>
      <c r="Q151"/>
    </row>
    <row r="152" spans="16:17" x14ac:dyDescent="0.3">
      <c r="P152"/>
      <c r="Q152"/>
    </row>
    <row r="153" spans="16:17" x14ac:dyDescent="0.3">
      <c r="P153"/>
      <c r="Q153"/>
    </row>
    <row r="154" spans="16:17" x14ac:dyDescent="0.3">
      <c r="P154"/>
      <c r="Q154"/>
    </row>
    <row r="155" spans="16:17" x14ac:dyDescent="0.3">
      <c r="P155"/>
      <c r="Q155"/>
    </row>
    <row r="156" spans="16:17" x14ac:dyDescent="0.3">
      <c r="P156"/>
      <c r="Q156"/>
    </row>
    <row r="157" spans="16:17" x14ac:dyDescent="0.3">
      <c r="P157"/>
      <c r="Q157"/>
    </row>
    <row r="158" spans="16:17" x14ac:dyDescent="0.3">
      <c r="P158"/>
      <c r="Q158"/>
    </row>
    <row r="159" spans="16:17" x14ac:dyDescent="0.3">
      <c r="P159"/>
      <c r="Q159"/>
    </row>
    <row r="160" spans="16:17" x14ac:dyDescent="0.3">
      <c r="P160"/>
      <c r="Q160"/>
    </row>
    <row r="161" spans="16:17" x14ac:dyDescent="0.3">
      <c r="P161"/>
      <c r="Q161"/>
    </row>
    <row r="162" spans="16:17" x14ac:dyDescent="0.3">
      <c r="P162"/>
      <c r="Q162"/>
    </row>
    <row r="163" spans="16:17" x14ac:dyDescent="0.3">
      <c r="P163"/>
      <c r="Q163"/>
    </row>
    <row r="164" spans="16:17" x14ac:dyDescent="0.3">
      <c r="P164"/>
      <c r="Q164"/>
    </row>
    <row r="165" spans="16:17" x14ac:dyDescent="0.3">
      <c r="P165"/>
      <c r="Q165"/>
    </row>
    <row r="166" spans="16:17" x14ac:dyDescent="0.3">
      <c r="P166"/>
      <c r="Q166"/>
    </row>
    <row r="167" spans="16:17" x14ac:dyDescent="0.3">
      <c r="P167"/>
      <c r="Q167"/>
    </row>
    <row r="168" spans="16:17" x14ac:dyDescent="0.3">
      <c r="P168"/>
      <c r="Q168"/>
    </row>
    <row r="169" spans="16:17" x14ac:dyDescent="0.3">
      <c r="P169"/>
      <c r="Q169"/>
    </row>
    <row r="170" spans="16:17" x14ac:dyDescent="0.3">
      <c r="P170"/>
      <c r="Q170"/>
    </row>
    <row r="171" spans="16:17" x14ac:dyDescent="0.3">
      <c r="P171"/>
      <c r="Q171"/>
    </row>
    <row r="172" spans="16:17" x14ac:dyDescent="0.3">
      <c r="P172"/>
      <c r="Q172"/>
    </row>
    <row r="173" spans="16:17" x14ac:dyDescent="0.3">
      <c r="P173"/>
      <c r="Q173"/>
    </row>
    <row r="174" spans="16:17" x14ac:dyDescent="0.3">
      <c r="P174"/>
      <c r="Q174"/>
    </row>
    <row r="175" spans="16:17" x14ac:dyDescent="0.3">
      <c r="P175"/>
      <c r="Q175"/>
    </row>
    <row r="176" spans="16:17" x14ac:dyDescent="0.3">
      <c r="P176"/>
      <c r="Q176"/>
    </row>
    <row r="177" spans="16:17" x14ac:dyDescent="0.3">
      <c r="P177"/>
      <c r="Q177"/>
    </row>
    <row r="178" spans="16:17" x14ac:dyDescent="0.3">
      <c r="P178"/>
      <c r="Q178"/>
    </row>
    <row r="179" spans="16:17" x14ac:dyDescent="0.3">
      <c r="P179"/>
      <c r="Q179"/>
    </row>
    <row r="180" spans="16:17" x14ac:dyDescent="0.3">
      <c r="P180"/>
      <c r="Q180"/>
    </row>
    <row r="181" spans="16:17" x14ac:dyDescent="0.3">
      <c r="P181"/>
      <c r="Q181"/>
    </row>
    <row r="182" spans="16:17" x14ac:dyDescent="0.3">
      <c r="P182"/>
      <c r="Q182"/>
    </row>
    <row r="183" spans="16:17" x14ac:dyDescent="0.3">
      <c r="P183"/>
      <c r="Q183"/>
    </row>
    <row r="184" spans="16:17" x14ac:dyDescent="0.3">
      <c r="P184"/>
      <c r="Q184"/>
    </row>
    <row r="185" spans="16:17" x14ac:dyDescent="0.3">
      <c r="P185"/>
      <c r="Q185"/>
    </row>
    <row r="186" spans="16:17" x14ac:dyDescent="0.3">
      <c r="P186"/>
      <c r="Q186"/>
    </row>
    <row r="187" spans="16:17" x14ac:dyDescent="0.3">
      <c r="P187"/>
      <c r="Q187"/>
    </row>
    <row r="188" spans="16:17" x14ac:dyDesce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r="191" spans="16:17" x14ac:dyDescent="0.3">
      <c r="P191"/>
      <c r="Q191"/>
    </row>
    <row r="192" spans="16:17" x14ac:dyDescent="0.3">
      <c r="P192"/>
      <c r="Q192"/>
    </row>
    <row r="193" spans="16:17" x14ac:dyDescent="0.3">
      <c r="P193"/>
      <c r="Q193"/>
    </row>
    <row r="194" spans="16:17" x14ac:dyDescent="0.3">
      <c r="P194"/>
      <c r="Q194"/>
    </row>
    <row r="195" spans="16:17" x14ac:dyDescent="0.3">
      <c r="P195"/>
      <c r="Q195"/>
    </row>
    <row r="196" spans="16:17" x14ac:dyDescent="0.3">
      <c r="P196"/>
      <c r="Q196"/>
    </row>
    <row r="197" spans="16:17" x14ac:dyDescent="0.3">
      <c r="P197"/>
      <c r="Q197"/>
    </row>
    <row r="198" spans="16:17" x14ac:dyDescent="0.3">
      <c r="P198"/>
      <c r="Q198"/>
    </row>
    <row r="199" spans="16:17" x14ac:dyDescent="0.3">
      <c r="P199"/>
      <c r="Q199"/>
    </row>
    <row r="200" spans="16:17" x14ac:dyDescent="0.3">
      <c r="P200"/>
      <c r="Q200"/>
    </row>
    <row r="201" spans="16:17" x14ac:dyDescent="0.3">
      <c r="P201"/>
      <c r="Q201"/>
    </row>
    <row r="202" spans="16:17" x14ac:dyDescent="0.3">
      <c r="P202"/>
      <c r="Q202"/>
    </row>
    <row r="203" spans="16:17" x14ac:dyDescent="0.3">
      <c r="P203"/>
      <c r="Q203"/>
    </row>
    <row r="204" spans="16:17" x14ac:dyDescent="0.3">
      <c r="P204"/>
      <c r="Q204"/>
    </row>
    <row r="205" spans="16:17" x14ac:dyDescent="0.3">
      <c r="P205"/>
      <c r="Q205"/>
    </row>
    <row r="206" spans="16:17" x14ac:dyDescent="0.3">
      <c r="P206"/>
      <c r="Q206"/>
    </row>
    <row r="207" spans="16:17" x14ac:dyDescent="0.3">
      <c r="P207"/>
      <c r="Q207"/>
    </row>
    <row r="208" spans="16:17" x14ac:dyDescent="0.3">
      <c r="P208"/>
      <c r="Q208"/>
    </row>
    <row r="209" spans="16:17" x14ac:dyDescent="0.3">
      <c r="P209"/>
      <c r="Q209"/>
    </row>
    <row r="210" spans="16:17" x14ac:dyDescent="0.3">
      <c r="P210"/>
      <c r="Q210"/>
    </row>
    <row r="211" spans="16:17" x14ac:dyDescent="0.3">
      <c r="P211"/>
      <c r="Q211"/>
    </row>
    <row r="212" spans="16:17" x14ac:dyDescent="0.3">
      <c r="P212"/>
      <c r="Q212"/>
    </row>
    <row r="213" spans="16:17" x14ac:dyDescent="0.3">
      <c r="P213"/>
      <c r="Q213"/>
    </row>
    <row r="214" spans="16:17" x14ac:dyDescent="0.3">
      <c r="P214"/>
      <c r="Q214"/>
    </row>
    <row r="215" spans="16:17" x14ac:dyDescent="0.3">
      <c r="P215"/>
      <c r="Q215"/>
    </row>
    <row r="216" spans="16:17" x14ac:dyDescent="0.3">
      <c r="P216"/>
      <c r="Q216"/>
    </row>
    <row r="217" spans="16:17" x14ac:dyDescent="0.3">
      <c r="P217"/>
      <c r="Q217"/>
    </row>
    <row r="218" spans="16:17" x14ac:dyDescent="0.3">
      <c r="P218"/>
      <c r="Q218"/>
    </row>
    <row r="219" spans="16:17" x14ac:dyDescent="0.3">
      <c r="P219"/>
      <c r="Q219"/>
    </row>
    <row r="220" spans="16:17" x14ac:dyDescent="0.3">
      <c r="P220"/>
      <c r="Q220"/>
    </row>
    <row r="221" spans="16:17" x14ac:dyDescent="0.3">
      <c r="P221"/>
      <c r="Q221"/>
    </row>
    <row r="222" spans="16:17" x14ac:dyDescent="0.3">
      <c r="P222"/>
      <c r="Q222"/>
    </row>
    <row r="223" spans="16:17" x14ac:dyDescent="0.3">
      <c r="P223"/>
      <c r="Q223"/>
    </row>
    <row r="224" spans="16:17" x14ac:dyDescent="0.3">
      <c r="P224"/>
      <c r="Q224"/>
    </row>
    <row r="225" spans="16:17" x14ac:dyDescent="0.3">
      <c r="P225"/>
      <c r="Q225"/>
    </row>
    <row r="226" spans="16:17" x14ac:dyDescent="0.3">
      <c r="P226"/>
      <c r="Q226"/>
    </row>
    <row r="227" spans="16:17" x14ac:dyDescent="0.3">
      <c r="P227"/>
      <c r="Q227"/>
    </row>
    <row r="228" spans="16:17" x14ac:dyDescent="0.3">
      <c r="P228"/>
      <c r="Q228"/>
    </row>
    <row r="229" spans="16:17" x14ac:dyDescent="0.3">
      <c r="P229"/>
      <c r="Q229"/>
    </row>
    <row r="230" spans="16:17" x14ac:dyDescent="0.3">
      <c r="P230"/>
      <c r="Q230"/>
    </row>
    <row r="231" spans="16:17" x14ac:dyDescent="0.3">
      <c r="P231"/>
      <c r="Q231"/>
    </row>
    <row r="232" spans="16:17" x14ac:dyDescent="0.3">
      <c r="P232"/>
      <c r="Q232"/>
    </row>
    <row r="233" spans="16:17" x14ac:dyDescent="0.3">
      <c r="P233"/>
      <c r="Q233"/>
    </row>
    <row r="234" spans="16:17" x14ac:dyDescent="0.3">
      <c r="P234"/>
      <c r="Q234"/>
    </row>
    <row r="235" spans="16:17" x14ac:dyDescent="0.3">
      <c r="P235"/>
      <c r="Q235"/>
    </row>
    <row r="236" spans="16:17" x14ac:dyDescent="0.3">
      <c r="P236"/>
      <c r="Q236"/>
    </row>
    <row r="237" spans="16:17" x14ac:dyDescent="0.3">
      <c r="P237"/>
      <c r="Q237"/>
    </row>
    <row r="238" spans="16:17" x14ac:dyDescent="0.3">
      <c r="P238"/>
      <c r="Q238"/>
    </row>
    <row r="239" spans="16:17" x14ac:dyDescent="0.3">
      <c r="P239"/>
      <c r="Q239"/>
    </row>
    <row r="240" spans="16:17" x14ac:dyDescent="0.3">
      <c r="P240"/>
      <c r="Q240"/>
    </row>
    <row r="241" spans="16:17" x14ac:dyDescent="0.3">
      <c r="P241"/>
      <c r="Q241"/>
    </row>
    <row r="242" spans="16:17" x14ac:dyDescent="0.3">
      <c r="P242"/>
      <c r="Q242"/>
    </row>
    <row r="243" spans="16:17" x14ac:dyDescent="0.3">
      <c r="P243"/>
      <c r="Q243"/>
    </row>
    <row r="244" spans="16:17" x14ac:dyDescent="0.3">
      <c r="P244"/>
      <c r="Q244"/>
    </row>
    <row r="245" spans="16:17" x14ac:dyDescent="0.3">
      <c r="P245"/>
      <c r="Q245"/>
    </row>
    <row r="246" spans="16:17" x14ac:dyDescent="0.3">
      <c r="P246"/>
      <c r="Q246"/>
    </row>
    <row r="247" spans="16:17" x14ac:dyDescent="0.3">
      <c r="P247"/>
      <c r="Q247"/>
    </row>
    <row r="248" spans="16:17" x14ac:dyDescent="0.3">
      <c r="P248"/>
      <c r="Q248"/>
    </row>
    <row r="249" spans="16:17" x14ac:dyDescent="0.3">
      <c r="P249"/>
      <c r="Q249"/>
    </row>
    <row r="250" spans="16:17" x14ac:dyDescent="0.3">
      <c r="P250"/>
      <c r="Q250"/>
    </row>
    <row r="251" spans="16:17" x14ac:dyDescent="0.3">
      <c r="P251"/>
      <c r="Q251"/>
    </row>
    <row r="252" spans="16:17" x14ac:dyDescent="0.3">
      <c r="P252"/>
      <c r="Q252"/>
    </row>
    <row r="253" spans="16:17" x14ac:dyDescent="0.3">
      <c r="P253"/>
      <c r="Q253"/>
    </row>
    <row r="254" spans="16:17" x14ac:dyDescent="0.3">
      <c r="P254"/>
      <c r="Q254"/>
    </row>
    <row r="255" spans="16:17" x14ac:dyDescent="0.3">
      <c r="P255"/>
      <c r="Q255"/>
    </row>
    <row r="256" spans="16:17" x14ac:dyDescent="0.3">
      <c r="P256"/>
      <c r="Q256"/>
    </row>
    <row r="257" spans="16:17" x14ac:dyDescent="0.3">
      <c r="P257"/>
      <c r="Q257"/>
    </row>
    <row r="258" spans="16:17" x14ac:dyDescent="0.3">
      <c r="P258"/>
      <c r="Q258"/>
    </row>
    <row r="259" spans="16:17" x14ac:dyDescent="0.3">
      <c r="P259"/>
      <c r="Q259"/>
    </row>
    <row r="260" spans="16:17" x14ac:dyDescent="0.3">
      <c r="P260"/>
      <c r="Q260"/>
    </row>
    <row r="261" spans="16:17" x14ac:dyDescent="0.3">
      <c r="P261"/>
      <c r="Q261"/>
    </row>
    <row r="262" spans="16:17" x14ac:dyDescent="0.3">
      <c r="P262"/>
      <c r="Q262"/>
    </row>
    <row r="263" spans="16:17" x14ac:dyDescent="0.3">
      <c r="P263"/>
      <c r="Q263"/>
    </row>
    <row r="264" spans="16:17" x14ac:dyDescent="0.3">
      <c r="P264"/>
      <c r="Q264"/>
    </row>
    <row r="265" spans="16:17" x14ac:dyDescent="0.3">
      <c r="P265"/>
      <c r="Q265"/>
    </row>
    <row r="266" spans="16:17" x14ac:dyDescent="0.3">
      <c r="P266"/>
      <c r="Q266"/>
    </row>
    <row r="267" spans="16:17" x14ac:dyDescent="0.3">
      <c r="P267"/>
      <c r="Q267"/>
    </row>
    <row r="268" spans="16:17" x14ac:dyDescent="0.3">
      <c r="P268"/>
      <c r="Q268"/>
    </row>
    <row r="269" spans="16:17" x14ac:dyDescent="0.3">
      <c r="P269"/>
      <c r="Q269"/>
    </row>
    <row r="270" spans="16:17" x14ac:dyDescent="0.3">
      <c r="P270"/>
      <c r="Q270"/>
    </row>
    <row r="271" spans="16:17" x14ac:dyDescent="0.3">
      <c r="P271"/>
      <c r="Q271"/>
    </row>
    <row r="272" spans="16:17" x14ac:dyDescent="0.3">
      <c r="P272"/>
      <c r="Q272"/>
    </row>
    <row r="273" spans="16:17" x14ac:dyDescent="0.3">
      <c r="P273"/>
      <c r="Q273"/>
    </row>
    <row r="274" spans="16:17" x14ac:dyDescent="0.3">
      <c r="P274"/>
      <c r="Q274"/>
    </row>
    <row r="275" spans="16:17" x14ac:dyDescent="0.3">
      <c r="P275"/>
      <c r="Q275"/>
    </row>
    <row r="276" spans="16:17" x14ac:dyDescent="0.3">
      <c r="P276"/>
      <c r="Q276"/>
    </row>
    <row r="277" spans="16:17" x14ac:dyDescent="0.3">
      <c r="P277"/>
      <c r="Q277"/>
    </row>
    <row r="278" spans="16:17" x14ac:dyDescent="0.3">
      <c r="P278"/>
      <c r="Q278"/>
    </row>
    <row r="279" spans="16:17" x14ac:dyDescent="0.3">
      <c r="P279"/>
      <c r="Q279"/>
    </row>
    <row r="280" spans="16:17" x14ac:dyDescent="0.3">
      <c r="P280"/>
      <c r="Q280"/>
    </row>
    <row r="281" spans="16:17" x14ac:dyDescent="0.3">
      <c r="P281"/>
      <c r="Q281"/>
    </row>
    <row r="282" spans="16:17" x14ac:dyDescent="0.3">
      <c r="P282"/>
      <c r="Q282"/>
    </row>
    <row r="283" spans="16:17" x14ac:dyDescent="0.3">
      <c r="P283"/>
      <c r="Q283"/>
    </row>
    <row r="284" spans="16:17" x14ac:dyDescent="0.3">
      <c r="P284"/>
      <c r="Q284"/>
    </row>
    <row r="285" spans="16:17" x14ac:dyDescent="0.3">
      <c r="P285"/>
      <c r="Q285"/>
    </row>
    <row r="286" spans="16:17" x14ac:dyDescent="0.3">
      <c r="P286"/>
      <c r="Q286"/>
    </row>
    <row r="287" spans="16:17" x14ac:dyDescent="0.3">
      <c r="P287"/>
      <c r="Q287"/>
    </row>
    <row r="288" spans="16:17" x14ac:dyDescent="0.3">
      <c r="P288"/>
      <c r="Q288"/>
    </row>
    <row r="289" spans="16:17" x14ac:dyDescent="0.3">
      <c r="P289"/>
      <c r="Q289"/>
    </row>
    <row r="290" spans="16:17" x14ac:dyDescent="0.3">
      <c r="P290"/>
      <c r="Q290"/>
    </row>
    <row r="291" spans="16:17" x14ac:dyDescent="0.3">
      <c r="P291"/>
      <c r="Q291"/>
    </row>
    <row r="292" spans="16:17" x14ac:dyDescent="0.3">
      <c r="P292"/>
      <c r="Q292"/>
    </row>
    <row r="293" spans="16:17" x14ac:dyDescent="0.3">
      <c r="P293"/>
      <c r="Q293"/>
    </row>
    <row r="294" spans="16:17" x14ac:dyDescent="0.3">
      <c r="P294"/>
      <c r="Q294"/>
    </row>
    <row r="295" spans="16:17" x14ac:dyDescent="0.3">
      <c r="P295"/>
      <c r="Q295"/>
    </row>
    <row r="296" spans="16:17" x14ac:dyDescent="0.3">
      <c r="P296"/>
      <c r="Q296"/>
    </row>
    <row r="297" spans="16:17" x14ac:dyDescent="0.3">
      <c r="P297"/>
      <c r="Q297"/>
    </row>
    <row r="298" spans="16:17" x14ac:dyDescent="0.3">
      <c r="P298"/>
      <c r="Q298"/>
    </row>
    <row r="299" spans="16:17" x14ac:dyDescent="0.3">
      <c r="P299"/>
      <c r="Q299"/>
    </row>
    <row r="300" spans="16:17" x14ac:dyDescent="0.3">
      <c r="P300"/>
      <c r="Q300"/>
    </row>
    <row r="301" spans="16:17" x14ac:dyDescent="0.3">
      <c r="P301"/>
      <c r="Q301"/>
    </row>
    <row r="302" spans="16:17" x14ac:dyDescent="0.3">
      <c r="P302"/>
      <c r="Q302"/>
    </row>
    <row r="303" spans="16:17" x14ac:dyDescent="0.3">
      <c r="P303"/>
      <c r="Q303"/>
    </row>
    <row r="304" spans="16:17" x14ac:dyDescent="0.3">
      <c r="P304"/>
      <c r="Q304"/>
    </row>
    <row r="305" spans="16:17" x14ac:dyDescent="0.3">
      <c r="P305"/>
      <c r="Q305"/>
    </row>
    <row r="306" spans="16:17" x14ac:dyDescent="0.3">
      <c r="P306"/>
      <c r="Q306"/>
    </row>
    <row r="307" spans="16:17" x14ac:dyDescent="0.3">
      <c r="P307"/>
      <c r="Q307"/>
    </row>
    <row r="308" spans="16:17" x14ac:dyDescent="0.3">
      <c r="P308"/>
      <c r="Q308"/>
    </row>
    <row r="309" spans="16:17" x14ac:dyDescent="0.3">
      <c r="P309"/>
      <c r="Q309"/>
    </row>
    <row r="310" spans="16:17" x14ac:dyDescent="0.3">
      <c r="P310"/>
      <c r="Q310"/>
    </row>
    <row r="311" spans="16:17" x14ac:dyDescent="0.3">
      <c r="P311"/>
      <c r="Q311"/>
    </row>
    <row r="312" spans="16:17" x14ac:dyDescent="0.3">
      <c r="P312"/>
      <c r="Q312"/>
    </row>
    <row r="313" spans="16:17" x14ac:dyDescent="0.3">
      <c r="P313"/>
      <c r="Q313"/>
    </row>
    <row r="314" spans="16:17" x14ac:dyDescent="0.3">
      <c r="P314"/>
      <c r="Q314"/>
    </row>
    <row r="315" spans="16:17" x14ac:dyDescent="0.3">
      <c r="P315"/>
      <c r="Q315"/>
    </row>
    <row r="316" spans="16:17" x14ac:dyDescent="0.3">
      <c r="P316"/>
      <c r="Q316"/>
    </row>
    <row r="317" spans="16:17" x14ac:dyDescent="0.3">
      <c r="P317"/>
      <c r="Q317"/>
    </row>
    <row r="318" spans="16:17" x14ac:dyDescent="0.3">
      <c r="P318"/>
      <c r="Q318"/>
    </row>
    <row r="319" spans="16:17" x14ac:dyDescent="0.3">
      <c r="P319"/>
      <c r="Q319"/>
    </row>
    <row r="320" spans="16:17" x14ac:dyDescent="0.3">
      <c r="P320"/>
      <c r="Q320"/>
    </row>
    <row r="321" spans="16:17" x14ac:dyDescent="0.3">
      <c r="P321"/>
      <c r="Q321"/>
    </row>
    <row r="322" spans="16:17" x14ac:dyDescent="0.3">
      <c r="P322"/>
      <c r="Q322"/>
    </row>
    <row r="323" spans="16:17" x14ac:dyDescent="0.3">
      <c r="P323"/>
      <c r="Q323"/>
    </row>
    <row r="324" spans="16:17" x14ac:dyDescent="0.3">
      <c r="P324"/>
      <c r="Q324"/>
    </row>
    <row r="325" spans="16:17" x14ac:dyDescent="0.3">
      <c r="P325"/>
      <c r="Q325"/>
    </row>
    <row r="326" spans="16:17" x14ac:dyDescent="0.3">
      <c r="P326"/>
      <c r="Q326"/>
    </row>
    <row r="327" spans="16:17" x14ac:dyDescent="0.3">
      <c r="P327"/>
      <c r="Q327"/>
    </row>
    <row r="328" spans="16:17" x14ac:dyDescent="0.3">
      <c r="P328"/>
      <c r="Q328"/>
    </row>
    <row r="329" spans="16:17" x14ac:dyDescent="0.3">
      <c r="P329"/>
      <c r="Q329"/>
    </row>
    <row r="330" spans="16:17" x14ac:dyDescent="0.3">
      <c r="P330"/>
      <c r="Q330"/>
    </row>
    <row r="331" spans="16:17" x14ac:dyDescent="0.3">
      <c r="P331"/>
      <c r="Q331"/>
    </row>
    <row r="332" spans="16:17" x14ac:dyDescent="0.3">
      <c r="P332"/>
      <c r="Q332"/>
    </row>
    <row r="333" spans="16:17" x14ac:dyDescent="0.3">
      <c r="P333"/>
      <c r="Q333"/>
    </row>
    <row r="334" spans="16:17" x14ac:dyDescent="0.3">
      <c r="P334"/>
      <c r="Q334"/>
    </row>
    <row r="335" spans="16:17" x14ac:dyDescent="0.3">
      <c r="P335"/>
      <c r="Q335"/>
    </row>
    <row r="336" spans="16:17" x14ac:dyDescent="0.3">
      <c r="P336"/>
      <c r="Q336"/>
    </row>
    <row r="337" spans="16:17" x14ac:dyDescent="0.3">
      <c r="P337"/>
      <c r="Q337"/>
    </row>
    <row r="338" spans="16:17" x14ac:dyDescent="0.3">
      <c r="P338"/>
      <c r="Q338"/>
    </row>
    <row r="339" spans="16:17" x14ac:dyDescent="0.3">
      <c r="P339"/>
      <c r="Q339"/>
    </row>
    <row r="340" spans="16:17" x14ac:dyDescent="0.3">
      <c r="P340"/>
      <c r="Q340"/>
    </row>
    <row r="341" spans="16:17" x14ac:dyDescent="0.3">
      <c r="P341"/>
      <c r="Q341"/>
    </row>
    <row r="342" spans="16:17" x14ac:dyDescent="0.3">
      <c r="P342"/>
      <c r="Q342"/>
    </row>
    <row r="343" spans="16:17" x14ac:dyDescent="0.3">
      <c r="P343"/>
      <c r="Q343"/>
    </row>
    <row r="344" spans="16:17" x14ac:dyDescent="0.3">
      <c r="P344"/>
      <c r="Q344"/>
    </row>
    <row r="345" spans="16:17" x14ac:dyDescent="0.3">
      <c r="P345"/>
      <c r="Q345"/>
    </row>
    <row r="346" spans="16:17" x14ac:dyDescent="0.3">
      <c r="P346"/>
      <c r="Q346"/>
    </row>
    <row r="347" spans="16:17" x14ac:dyDescent="0.3">
      <c r="P347"/>
      <c r="Q347"/>
    </row>
    <row r="348" spans="16:17" x14ac:dyDescent="0.3">
      <c r="P348"/>
      <c r="Q348"/>
    </row>
    <row r="349" spans="16:17" x14ac:dyDescent="0.3">
      <c r="P349"/>
      <c r="Q349"/>
    </row>
    <row r="350" spans="16:17" x14ac:dyDescent="0.3">
      <c r="P350"/>
      <c r="Q350"/>
    </row>
    <row r="351" spans="16:17" x14ac:dyDescent="0.3">
      <c r="P351"/>
      <c r="Q351"/>
    </row>
    <row r="352" spans="16:17" x14ac:dyDescent="0.3">
      <c r="P352"/>
      <c r="Q352"/>
    </row>
  </sheetData>
  <mergeCells count="9">
    <mergeCell ref="N23:O23"/>
    <mergeCell ref="N37:O37"/>
    <mergeCell ref="K47:L47"/>
    <mergeCell ref="B1:O1"/>
    <mergeCell ref="B3:G3"/>
    <mergeCell ref="K3:O3"/>
    <mergeCell ref="B12:C12"/>
    <mergeCell ref="K21:K22"/>
    <mergeCell ref="L21:L22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3916-9210-40C5-A9E1-D5C37BA3A78A}">
  <dimension ref="B1:AN352"/>
  <sheetViews>
    <sheetView zoomScaleNormal="100" workbookViewId="0">
      <selection activeCell="K18" sqref="K18"/>
    </sheetView>
  </sheetViews>
  <sheetFormatPr defaultColWidth="9.33203125" defaultRowHeight="14.4" x14ac:dyDescent="0.3"/>
  <cols>
    <col min="1" max="1" width="1.6640625" customWidth="1"/>
    <col min="2" max="2" width="35.6640625" bestFit="1" customWidth="1"/>
    <col min="3" max="3" width="15.44140625" customWidth="1"/>
    <col min="4" max="5" width="11.33203125" customWidth="1"/>
    <col min="6" max="6" width="32.44140625" bestFit="1" customWidth="1"/>
    <col min="7" max="7" width="10.33203125" customWidth="1"/>
    <col min="8" max="8" width="1.6640625" customWidth="1"/>
    <col min="9" max="10" width="2" customWidth="1"/>
    <col min="11" max="11" width="22.6640625" bestFit="1" customWidth="1"/>
    <col min="12" max="12" width="14.44140625" bestFit="1" customWidth="1"/>
    <col min="13" max="13" width="15.33203125" customWidth="1"/>
    <col min="14" max="14" width="22.6640625" bestFit="1" customWidth="1"/>
    <col min="15" max="15" width="14.44140625" bestFit="1" customWidth="1"/>
    <col min="16" max="16" width="11.44140625" style="1" bestFit="1" customWidth="1"/>
    <col min="17" max="17" width="18.44140625" style="1" bestFit="1" customWidth="1"/>
    <col min="18" max="18" width="18.44140625" hidden="1" customWidth="1"/>
    <col min="19" max="19" width="5.6640625" hidden="1" customWidth="1"/>
    <col min="20" max="39" width="12.33203125" bestFit="1" customWidth="1"/>
    <col min="40" max="40" width="13" bestFit="1" customWidth="1"/>
  </cols>
  <sheetData>
    <row r="1" spans="2:19" ht="28.8" x14ac:dyDescent="0.3"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2:19" ht="15" thickBot="1" x14ac:dyDescent="0.35"/>
    <row r="3" spans="2:19" ht="18.600000000000001" thickBot="1" x14ac:dyDescent="0.4">
      <c r="B3" s="45" t="s">
        <v>60</v>
      </c>
      <c r="C3" s="45"/>
      <c r="D3" s="45"/>
      <c r="E3" s="45"/>
      <c r="F3" s="45"/>
      <c r="G3" s="45"/>
      <c r="K3" s="46" t="s">
        <v>65</v>
      </c>
      <c r="L3" s="47"/>
      <c r="M3" s="47"/>
      <c r="N3" s="47"/>
      <c r="O3" s="47"/>
      <c r="Q3"/>
    </row>
    <row r="4" spans="2:19" ht="15" thickBot="1" x14ac:dyDescent="0.35">
      <c r="C4" s="2"/>
      <c r="D4" s="2"/>
      <c r="E4" s="2"/>
      <c r="P4"/>
      <c r="Q4"/>
    </row>
    <row r="5" spans="2:19" ht="16.5" customHeight="1" thickBot="1" x14ac:dyDescent="0.35">
      <c r="B5" s="3" t="s">
        <v>1</v>
      </c>
      <c r="C5" s="4">
        <f>2</f>
        <v>2</v>
      </c>
      <c r="D5" s="5"/>
      <c r="E5" s="5" t="s">
        <v>2</v>
      </c>
      <c r="F5" s="6" t="s">
        <v>3</v>
      </c>
      <c r="G5" s="7" t="s">
        <v>4</v>
      </c>
      <c r="K5" s="6" t="s">
        <v>63</v>
      </c>
      <c r="L5" s="8" t="s">
        <v>5</v>
      </c>
      <c r="N5" s="6" t="s">
        <v>64</v>
      </c>
      <c r="O5" s="6"/>
      <c r="Q5"/>
      <c r="R5" s="9" t="s">
        <v>6</v>
      </c>
      <c r="S5" s="9" t="s">
        <v>7</v>
      </c>
    </row>
    <row r="6" spans="2:19" x14ac:dyDescent="0.3">
      <c r="B6" s="10" t="s">
        <v>8</v>
      </c>
      <c r="C6" s="11">
        <v>0</v>
      </c>
      <c r="D6" s="5"/>
      <c r="E6" s="12"/>
      <c r="F6" s="13" t="s">
        <v>9</v>
      </c>
      <c r="G6" s="14">
        <v>0</v>
      </c>
      <c r="K6" s="15" t="s">
        <v>10</v>
      </c>
      <c r="L6" s="16">
        <f>3</f>
        <v>3</v>
      </c>
      <c r="N6" s="17" t="s">
        <v>9</v>
      </c>
      <c r="O6" s="14">
        <v>0</v>
      </c>
      <c r="P6" s="18"/>
      <c r="Q6"/>
      <c r="R6" s="17" t="s">
        <v>11</v>
      </c>
      <c r="S6" s="19">
        <v>3</v>
      </c>
    </row>
    <row r="7" spans="2:19" ht="15" customHeight="1" x14ac:dyDescent="0.3">
      <c r="B7" s="10" t="s">
        <v>12</v>
      </c>
      <c r="C7" s="11">
        <f>1</f>
        <v>1</v>
      </c>
      <c r="D7" s="5"/>
      <c r="E7" s="12"/>
      <c r="F7" s="20" t="s">
        <v>11</v>
      </c>
      <c r="G7" s="14">
        <v>0</v>
      </c>
      <c r="K7" s="15" t="s">
        <v>13</v>
      </c>
      <c r="L7" s="16"/>
      <c r="N7" s="21" t="s">
        <v>11</v>
      </c>
      <c r="O7" s="14">
        <v>0</v>
      </c>
      <c r="P7" s="18"/>
      <c r="Q7"/>
      <c r="R7" s="21" t="s">
        <v>14</v>
      </c>
      <c r="S7" s="22">
        <v>6</v>
      </c>
    </row>
    <row r="8" spans="2:19" x14ac:dyDescent="0.3">
      <c r="B8" s="10" t="s">
        <v>15</v>
      </c>
      <c r="C8" s="23">
        <v>0</v>
      </c>
      <c r="D8" s="12"/>
      <c r="E8" s="12"/>
      <c r="F8" s="21" t="s">
        <v>16</v>
      </c>
      <c r="G8" s="14">
        <v>0</v>
      </c>
      <c r="K8" s="15" t="s">
        <v>17</v>
      </c>
      <c r="L8" s="24"/>
      <c r="N8" s="21" t="s">
        <v>16</v>
      </c>
      <c r="O8" s="14">
        <v>0</v>
      </c>
      <c r="P8" s="18"/>
      <c r="Q8"/>
      <c r="R8" s="21" t="s">
        <v>18</v>
      </c>
      <c r="S8" s="22">
        <v>6</v>
      </c>
    </row>
    <row r="9" spans="2:19" x14ac:dyDescent="0.3">
      <c r="B9" s="10" t="s">
        <v>19</v>
      </c>
      <c r="C9" s="23">
        <f>3</f>
        <v>3</v>
      </c>
      <c r="D9" s="12"/>
      <c r="E9" s="12"/>
      <c r="F9" s="21" t="s">
        <v>14</v>
      </c>
      <c r="G9" s="14">
        <v>0</v>
      </c>
      <c r="K9" s="15" t="s">
        <v>20</v>
      </c>
      <c r="L9" s="24"/>
      <c r="M9" s="18"/>
      <c r="N9" s="21" t="s">
        <v>14</v>
      </c>
      <c r="O9" s="14">
        <v>0</v>
      </c>
      <c r="P9" s="18"/>
      <c r="Q9"/>
      <c r="R9" s="21" t="s">
        <v>21</v>
      </c>
      <c r="S9" s="22">
        <v>1</v>
      </c>
    </row>
    <row r="10" spans="2:19" x14ac:dyDescent="0.3">
      <c r="B10" s="10" t="s">
        <v>22</v>
      </c>
      <c r="C10" s="23">
        <f>3</f>
        <v>3</v>
      </c>
      <c r="D10" s="12"/>
      <c r="E10" s="12"/>
      <c r="F10" s="21" t="s">
        <v>27</v>
      </c>
      <c r="G10" s="14">
        <v>1</v>
      </c>
      <c r="K10" s="15" t="s">
        <v>24</v>
      </c>
      <c r="L10" s="24"/>
      <c r="N10" s="21" t="s">
        <v>27</v>
      </c>
      <c r="O10" s="14">
        <v>0</v>
      </c>
      <c r="P10" s="18"/>
      <c r="R10" s="21" t="s">
        <v>25</v>
      </c>
      <c r="S10" s="22">
        <v>6</v>
      </c>
    </row>
    <row r="11" spans="2:19" ht="15" thickBot="1" x14ac:dyDescent="0.35">
      <c r="B11" s="25" t="s">
        <v>26</v>
      </c>
      <c r="C11" s="26">
        <f>3</f>
        <v>3</v>
      </c>
      <c r="D11" s="12"/>
      <c r="E11" s="12"/>
      <c r="F11" s="21" t="s">
        <v>30</v>
      </c>
      <c r="G11" s="14">
        <v>0</v>
      </c>
      <c r="K11" s="15" t="s">
        <v>28</v>
      </c>
      <c r="L11" s="24"/>
      <c r="N11" s="21" t="s">
        <v>30</v>
      </c>
      <c r="O11" s="14">
        <v>0</v>
      </c>
      <c r="P11" s="18"/>
      <c r="R11" s="21" t="s">
        <v>29</v>
      </c>
      <c r="S11" s="22">
        <v>7</v>
      </c>
    </row>
    <row r="12" spans="2:19" ht="15" thickBot="1" x14ac:dyDescent="0.35">
      <c r="B12" s="48"/>
      <c r="C12" s="49"/>
      <c r="D12" s="12"/>
      <c r="F12" s="21" t="s">
        <v>59</v>
      </c>
      <c r="G12" s="14">
        <v>0</v>
      </c>
      <c r="K12" s="15" t="s">
        <v>31</v>
      </c>
      <c r="L12" s="24"/>
      <c r="N12" s="21" t="s">
        <v>59</v>
      </c>
      <c r="O12" s="14">
        <v>0</v>
      </c>
      <c r="P12" s="18"/>
      <c r="R12" s="21" t="s">
        <v>32</v>
      </c>
      <c r="S12" s="22">
        <v>3</v>
      </c>
    </row>
    <row r="13" spans="2:19" ht="15" thickBot="1" x14ac:dyDescent="0.35">
      <c r="B13" s="27" t="s">
        <v>3</v>
      </c>
      <c r="C13" s="8" t="s">
        <v>7</v>
      </c>
      <c r="D13" s="12"/>
      <c r="F13" s="21" t="s">
        <v>58</v>
      </c>
      <c r="G13" s="14">
        <v>0</v>
      </c>
      <c r="K13" s="15" t="s">
        <v>34</v>
      </c>
      <c r="L13" s="24"/>
      <c r="N13" s="21" t="s">
        <v>58</v>
      </c>
      <c r="O13" s="14">
        <v>0</v>
      </c>
      <c r="P13" s="18"/>
      <c r="R13" s="21" t="s">
        <v>35</v>
      </c>
      <c r="S13" s="22">
        <v>1</v>
      </c>
    </row>
    <row r="14" spans="2:19" ht="15" thickBot="1" x14ac:dyDescent="0.35">
      <c r="B14" s="13" t="s">
        <v>9</v>
      </c>
      <c r="C14" s="28">
        <v>0</v>
      </c>
      <c r="F14" s="21" t="s">
        <v>33</v>
      </c>
      <c r="G14" s="14">
        <v>0</v>
      </c>
      <c r="K14" s="15" t="s">
        <v>37</v>
      </c>
      <c r="L14" s="24"/>
      <c r="N14" s="21" t="s">
        <v>38</v>
      </c>
      <c r="O14" s="14">
        <v>1</v>
      </c>
      <c r="P14" s="18"/>
      <c r="R14" s="30" t="s">
        <v>39</v>
      </c>
      <c r="S14" s="22">
        <v>1</v>
      </c>
    </row>
    <row r="15" spans="2:19" ht="15" thickBot="1" x14ac:dyDescent="0.35">
      <c r="B15" s="20" t="s">
        <v>11</v>
      </c>
      <c r="C15" s="14">
        <v>0</v>
      </c>
      <c r="F15" s="21" t="s">
        <v>36</v>
      </c>
      <c r="G15" s="29">
        <v>0</v>
      </c>
      <c r="K15" s="15" t="s">
        <v>41</v>
      </c>
      <c r="L15" s="24"/>
      <c r="N15" s="21" t="s">
        <v>42</v>
      </c>
      <c r="O15" s="14">
        <v>2</v>
      </c>
      <c r="P15" s="18"/>
      <c r="R15" s="32" t="s">
        <v>43</v>
      </c>
      <c r="S15" s="9">
        <v>34</v>
      </c>
    </row>
    <row r="16" spans="2:19" ht="15" customHeight="1" thickBot="1" x14ac:dyDescent="0.35">
      <c r="B16" s="20" t="s">
        <v>16</v>
      </c>
      <c r="C16" s="14">
        <v>0</v>
      </c>
      <c r="F16" s="31" t="s">
        <v>40</v>
      </c>
      <c r="G16" s="7">
        <f>SUM(G6:G15)</f>
        <v>1</v>
      </c>
      <c r="K16" s="15" t="s">
        <v>44</v>
      </c>
      <c r="L16" s="24"/>
      <c r="N16" s="33" t="s">
        <v>45</v>
      </c>
      <c r="O16" s="14">
        <v>0</v>
      </c>
    </row>
    <row r="17" spans="2:38" ht="15" customHeight="1" thickBot="1" x14ac:dyDescent="0.35">
      <c r="B17" s="20" t="s">
        <v>14</v>
      </c>
      <c r="C17" s="14">
        <v>0</v>
      </c>
      <c r="K17" s="15" t="s">
        <v>46</v>
      </c>
      <c r="L17" s="24"/>
      <c r="N17" s="21" t="s">
        <v>21</v>
      </c>
      <c r="O17" s="14">
        <v>0</v>
      </c>
    </row>
    <row r="18" spans="2:38" ht="15" thickBot="1" x14ac:dyDescent="0.35">
      <c r="B18" s="20" t="s">
        <v>23</v>
      </c>
      <c r="C18" s="14">
        <v>0</v>
      </c>
      <c r="K18" s="7" t="s">
        <v>63</v>
      </c>
      <c r="L18" s="34">
        <f>SUM(L6:L17)</f>
        <v>3</v>
      </c>
      <c r="N18" s="21" t="s">
        <v>47</v>
      </c>
      <c r="O18" s="14">
        <v>0</v>
      </c>
    </row>
    <row r="19" spans="2:38" ht="15" thickBot="1" x14ac:dyDescent="0.35">
      <c r="B19" s="21" t="s">
        <v>27</v>
      </c>
      <c r="C19" s="14">
        <v>0</v>
      </c>
      <c r="N19" s="7" t="s">
        <v>48</v>
      </c>
      <c r="O19" s="7">
        <f>SUM(O6:O18)</f>
        <v>3</v>
      </c>
    </row>
    <row r="20" spans="2:38" ht="15" customHeight="1" thickBot="1" x14ac:dyDescent="0.35">
      <c r="B20" s="21" t="s">
        <v>30</v>
      </c>
      <c r="C20" s="14">
        <v>0</v>
      </c>
      <c r="N20" s="35"/>
      <c r="O20" s="35"/>
    </row>
    <row r="21" spans="2:38" ht="15" customHeight="1" x14ac:dyDescent="0.3">
      <c r="B21" s="20" t="s">
        <v>25</v>
      </c>
      <c r="C21" s="14">
        <v>1</v>
      </c>
      <c r="K21" s="50" t="s">
        <v>49</v>
      </c>
      <c r="L21" s="52">
        <f>L18/1</f>
        <v>3</v>
      </c>
      <c r="N21" s="35"/>
      <c r="O21" s="35"/>
    </row>
    <row r="22" spans="2:38" s="1" customFormat="1" ht="15" customHeight="1" thickBot="1" x14ac:dyDescent="0.35">
      <c r="B22" s="20" t="s">
        <v>42</v>
      </c>
      <c r="C22" s="14">
        <v>2</v>
      </c>
      <c r="D22"/>
      <c r="F22" s="36"/>
      <c r="G22"/>
      <c r="K22" s="51"/>
      <c r="L22" s="53"/>
      <c r="N22"/>
      <c r="O22"/>
      <c r="R22"/>
      <c r="S22"/>
    </row>
    <row r="23" spans="2:38" s="1" customFormat="1" ht="15" customHeight="1" thickBot="1" x14ac:dyDescent="0.35">
      <c r="B23" s="20" t="s">
        <v>50</v>
      </c>
      <c r="C23" s="14">
        <v>0</v>
      </c>
      <c r="D23"/>
      <c r="F23"/>
      <c r="G23"/>
      <c r="N23" s="40" t="s">
        <v>61</v>
      </c>
      <c r="O23" s="41"/>
      <c r="R23"/>
      <c r="S23"/>
    </row>
    <row r="24" spans="2:38" s="1" customFormat="1" ht="15" customHeight="1" x14ac:dyDescent="0.3">
      <c r="B24" s="20" t="s">
        <v>21</v>
      </c>
      <c r="C24" s="14">
        <v>0</v>
      </c>
      <c r="F24"/>
      <c r="G24"/>
      <c r="N24" s="17" t="s">
        <v>9</v>
      </c>
      <c r="O24" s="14">
        <v>0</v>
      </c>
      <c r="R24"/>
      <c r="S24"/>
    </row>
    <row r="25" spans="2:38" s="1" customFormat="1" ht="15" customHeight="1" x14ac:dyDescent="0.3">
      <c r="B25" s="21" t="s">
        <v>57</v>
      </c>
      <c r="C25" s="14">
        <v>0</v>
      </c>
      <c r="F25"/>
      <c r="G25"/>
      <c r="N25" s="21" t="s">
        <v>11</v>
      </c>
      <c r="O25" s="14">
        <v>0</v>
      </c>
      <c r="R25"/>
      <c r="S25"/>
    </row>
    <row r="26" spans="2:38" s="1" customFormat="1" ht="15" customHeight="1" x14ac:dyDescent="0.3">
      <c r="B26" s="21" t="s">
        <v>51</v>
      </c>
      <c r="C26" s="14">
        <v>0</v>
      </c>
      <c r="G26"/>
      <c r="N26" s="21" t="s">
        <v>16</v>
      </c>
      <c r="O26" s="14">
        <v>0</v>
      </c>
      <c r="P26"/>
    </row>
    <row r="27" spans="2:38" s="1" customFormat="1" x14ac:dyDescent="0.3">
      <c r="B27" s="21" t="s">
        <v>52</v>
      </c>
      <c r="C27" s="14">
        <v>0</v>
      </c>
      <c r="G27"/>
      <c r="N27" s="21" t="s">
        <v>14</v>
      </c>
      <c r="O27" s="14">
        <v>0</v>
      </c>
      <c r="P27"/>
      <c r="Q27"/>
    </row>
    <row r="28" spans="2:38" s="1" customFormat="1" x14ac:dyDescent="0.3">
      <c r="B28" s="21" t="s">
        <v>53</v>
      </c>
      <c r="C28" s="14">
        <v>0</v>
      </c>
      <c r="E28" s="37"/>
      <c r="F28"/>
      <c r="G28"/>
      <c r="N28" s="21" t="s">
        <v>27</v>
      </c>
      <c r="O28" s="14">
        <f>1</f>
        <v>1</v>
      </c>
      <c r="P28"/>
      <c r="Q28"/>
    </row>
    <row r="29" spans="2:38" s="1" customFormat="1" x14ac:dyDescent="0.3">
      <c r="B29" s="21" t="s">
        <v>54</v>
      </c>
      <c r="C29" s="14">
        <v>0</v>
      </c>
      <c r="F29"/>
      <c r="G29"/>
      <c r="N29" s="21" t="s">
        <v>30</v>
      </c>
      <c r="O29" s="14">
        <v>0</v>
      </c>
      <c r="P29"/>
      <c r="Q29"/>
    </row>
    <row r="30" spans="2:38" s="1" customFormat="1" ht="15" thickBot="1" x14ac:dyDescent="0.35">
      <c r="B30" s="30" t="s">
        <v>55</v>
      </c>
      <c r="C30" s="14">
        <v>0</v>
      </c>
      <c r="F30"/>
      <c r="G30"/>
      <c r="N30" s="21" t="s">
        <v>59</v>
      </c>
      <c r="O30" s="14">
        <v>0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2:38" s="1" customFormat="1" ht="15" thickBot="1" x14ac:dyDescent="0.35">
      <c r="B31" s="38" t="s">
        <v>56</v>
      </c>
      <c r="C31" s="7">
        <f>SUM(C14:C30)</f>
        <v>3</v>
      </c>
      <c r="N31" s="21" t="s">
        <v>58</v>
      </c>
      <c r="O31" s="14">
        <v>0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2:38" s="1" customFormat="1" x14ac:dyDescent="0.3">
      <c r="C32"/>
      <c r="N32" s="21" t="s">
        <v>33</v>
      </c>
      <c r="O32" s="14">
        <v>0</v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2:40" s="1" customFormat="1" ht="15" thickBot="1" x14ac:dyDescent="0.35">
      <c r="N33" s="21" t="s">
        <v>47</v>
      </c>
      <c r="O33" s="14">
        <v>0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2:40" s="1" customFormat="1" ht="15" thickBot="1" x14ac:dyDescent="0.35">
      <c r="N34" s="7" t="s">
        <v>48</v>
      </c>
      <c r="O34" s="7">
        <f>SUM(O24:O33)</f>
        <v>1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2:40" s="1" customFormat="1" x14ac:dyDescent="0.3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2:40" s="1" customFormat="1" ht="15" thickBot="1" x14ac:dyDescent="0.35"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2:40" s="1" customFormat="1" ht="15" thickBot="1" x14ac:dyDescent="0.35">
      <c r="K37"/>
      <c r="L37"/>
      <c r="N37" s="40" t="s">
        <v>62</v>
      </c>
      <c r="O37" s="41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2:40" s="1" customFormat="1" x14ac:dyDescent="0.3">
      <c r="K38"/>
      <c r="L38"/>
      <c r="N38" s="17" t="s">
        <v>9</v>
      </c>
      <c r="O38" s="14">
        <v>0</v>
      </c>
      <c r="P38"/>
      <c r="R38"/>
      <c r="S38"/>
    </row>
    <row r="39" spans="2:40" x14ac:dyDescent="0.3">
      <c r="B39" s="1"/>
      <c r="C39" s="1"/>
      <c r="D39" s="1"/>
      <c r="F39" s="1"/>
      <c r="G39" s="1"/>
      <c r="N39" s="21" t="s">
        <v>11</v>
      </c>
      <c r="O39" s="14">
        <v>0</v>
      </c>
      <c r="P39"/>
    </row>
    <row r="40" spans="2:40" s="1" customFormat="1" x14ac:dyDescent="0.3">
      <c r="K40"/>
      <c r="L40"/>
      <c r="N40" s="21" t="s">
        <v>16</v>
      </c>
      <c r="O40" s="14">
        <v>0</v>
      </c>
      <c r="P40"/>
      <c r="R40"/>
      <c r="S40"/>
    </row>
    <row r="41" spans="2:40" x14ac:dyDescent="0.3">
      <c r="B41" s="1"/>
      <c r="C41" s="1"/>
      <c r="F41" s="1"/>
      <c r="G41" s="1"/>
      <c r="N41" s="21" t="s">
        <v>14</v>
      </c>
      <c r="O41" s="14">
        <v>0</v>
      </c>
      <c r="P41"/>
    </row>
    <row r="42" spans="2:40" s="1" customFormat="1" x14ac:dyDescent="0.3">
      <c r="F42"/>
      <c r="G42"/>
      <c r="K42"/>
      <c r="L42"/>
      <c r="N42" s="21" t="s">
        <v>27</v>
      </c>
      <c r="O42" s="14">
        <v>0</v>
      </c>
      <c r="P42"/>
      <c r="R42"/>
      <c r="S42"/>
    </row>
    <row r="43" spans="2:40" x14ac:dyDescent="0.3">
      <c r="B43" s="1"/>
      <c r="C43" s="1"/>
      <c r="N43" s="21" t="s">
        <v>30</v>
      </c>
      <c r="O43" s="14">
        <v>1</v>
      </c>
      <c r="P43"/>
      <c r="Q43"/>
    </row>
    <row r="44" spans="2:40" x14ac:dyDescent="0.3">
      <c r="C44" s="1"/>
      <c r="D44" s="1"/>
      <c r="N44" s="21" t="s">
        <v>59</v>
      </c>
      <c r="O44" s="14">
        <v>1</v>
      </c>
      <c r="P44"/>
      <c r="Q44"/>
    </row>
    <row r="45" spans="2:40" x14ac:dyDescent="0.3">
      <c r="N45" s="21" t="s">
        <v>58</v>
      </c>
      <c r="O45" s="14">
        <v>0</v>
      </c>
      <c r="P45"/>
      <c r="Q45"/>
    </row>
    <row r="46" spans="2:40" ht="15" customHeight="1" x14ac:dyDescent="0.3">
      <c r="N46" s="21" t="s">
        <v>33</v>
      </c>
      <c r="O46" s="14">
        <v>0</v>
      </c>
      <c r="P46"/>
      <c r="Q46"/>
    </row>
    <row r="47" spans="2:40" ht="15" thickBot="1" x14ac:dyDescent="0.35">
      <c r="K47" s="42"/>
      <c r="L47" s="42"/>
      <c r="N47" s="21" t="s">
        <v>47</v>
      </c>
      <c r="O47" s="14">
        <v>0</v>
      </c>
      <c r="P47"/>
      <c r="Q47"/>
    </row>
    <row r="48" spans="2:40" ht="15" thickBot="1" x14ac:dyDescent="0.35">
      <c r="N48" s="7" t="s">
        <v>48</v>
      </c>
      <c r="O48" s="7">
        <f>SUM(O38:O47)</f>
        <v>2</v>
      </c>
      <c r="P48"/>
      <c r="Q48"/>
    </row>
    <row r="49" spans="16:17" x14ac:dyDescent="0.3">
      <c r="P49"/>
      <c r="Q49"/>
    </row>
    <row r="50" spans="16:17" x14ac:dyDescent="0.3">
      <c r="P50"/>
      <c r="Q50"/>
    </row>
    <row r="51" spans="16:17" x14ac:dyDescent="0.3">
      <c r="P51"/>
      <c r="Q51"/>
    </row>
    <row r="52" spans="16:17" x14ac:dyDescent="0.3">
      <c r="P52"/>
      <c r="Q52"/>
    </row>
    <row r="53" spans="16:17" x14ac:dyDescent="0.3">
      <c r="P53"/>
      <c r="Q53"/>
    </row>
    <row r="54" spans="16:17" x14ac:dyDescent="0.3">
      <c r="P54"/>
      <c r="Q54"/>
    </row>
    <row r="55" spans="16:17" x14ac:dyDescent="0.3">
      <c r="P55"/>
      <c r="Q55"/>
    </row>
    <row r="56" spans="16:17" x14ac:dyDescent="0.3">
      <c r="P56"/>
      <c r="Q56"/>
    </row>
    <row r="57" spans="16:17" x14ac:dyDescent="0.3">
      <c r="P57"/>
      <c r="Q57"/>
    </row>
    <row r="58" spans="16:17" x14ac:dyDescent="0.3">
      <c r="P58"/>
      <c r="Q58"/>
    </row>
    <row r="59" spans="16:17" x14ac:dyDescent="0.3">
      <c r="P59"/>
      <c r="Q59"/>
    </row>
    <row r="60" spans="16:17" x14ac:dyDescent="0.3">
      <c r="P60"/>
      <c r="Q60"/>
    </row>
    <row r="61" spans="16:17" x14ac:dyDescent="0.3">
      <c r="P61"/>
      <c r="Q61"/>
    </row>
    <row r="62" spans="16:17" x14ac:dyDescent="0.3">
      <c r="P62"/>
      <c r="Q62"/>
    </row>
    <row r="63" spans="16:17" x14ac:dyDescent="0.3">
      <c r="P63"/>
      <c r="Q63"/>
    </row>
    <row r="64" spans="16:17" x14ac:dyDescent="0.3">
      <c r="P64"/>
      <c r="Q64"/>
    </row>
    <row r="65" spans="16:17" x14ac:dyDescent="0.3">
      <c r="P65"/>
      <c r="Q65"/>
    </row>
    <row r="66" spans="16:17" x14ac:dyDescent="0.3">
      <c r="P66"/>
      <c r="Q66"/>
    </row>
    <row r="67" spans="16:17" x14ac:dyDescent="0.3">
      <c r="P67"/>
      <c r="Q67"/>
    </row>
    <row r="68" spans="16:17" x14ac:dyDescent="0.3">
      <c r="P68"/>
      <c r="Q68"/>
    </row>
    <row r="69" spans="16:17" x14ac:dyDescent="0.3">
      <c r="P69"/>
      <c r="Q69"/>
    </row>
    <row r="70" spans="16:17" x14ac:dyDescent="0.3">
      <c r="P70"/>
      <c r="Q70"/>
    </row>
    <row r="71" spans="16:17" x14ac:dyDescent="0.3">
      <c r="P71"/>
      <c r="Q71"/>
    </row>
    <row r="72" spans="16:17" x14ac:dyDescent="0.3">
      <c r="P72"/>
      <c r="Q72"/>
    </row>
    <row r="73" spans="16:17" x14ac:dyDescent="0.3">
      <c r="P73"/>
      <c r="Q73"/>
    </row>
    <row r="74" spans="16:17" x14ac:dyDescent="0.3">
      <c r="P74"/>
      <c r="Q74"/>
    </row>
    <row r="75" spans="16:17" x14ac:dyDescent="0.3">
      <c r="P75"/>
      <c r="Q75"/>
    </row>
    <row r="76" spans="16:17" x14ac:dyDescent="0.3">
      <c r="P76"/>
      <c r="Q76"/>
    </row>
    <row r="77" spans="16:17" x14ac:dyDescent="0.3">
      <c r="P77"/>
      <c r="Q77"/>
    </row>
    <row r="78" spans="16:17" x14ac:dyDescent="0.3">
      <c r="P78"/>
      <c r="Q78"/>
    </row>
    <row r="79" spans="16:17" x14ac:dyDescent="0.3">
      <c r="P79"/>
      <c r="Q79"/>
    </row>
    <row r="80" spans="16:17" x14ac:dyDescent="0.3">
      <c r="P80"/>
      <c r="Q80"/>
    </row>
    <row r="81" spans="16:17" x14ac:dyDescent="0.3">
      <c r="P81"/>
      <c r="Q81"/>
    </row>
    <row r="82" spans="16:17" x14ac:dyDescent="0.3">
      <c r="P82"/>
      <c r="Q82"/>
    </row>
    <row r="83" spans="16:17" x14ac:dyDescent="0.3">
      <c r="P83"/>
      <c r="Q83"/>
    </row>
    <row r="84" spans="16:17" x14ac:dyDescent="0.3">
      <c r="P84"/>
      <c r="Q84"/>
    </row>
    <row r="85" spans="16:17" x14ac:dyDescent="0.3">
      <c r="P85"/>
      <c r="Q85"/>
    </row>
    <row r="86" spans="16:17" x14ac:dyDescent="0.3">
      <c r="P86"/>
      <c r="Q86"/>
    </row>
    <row r="87" spans="16:17" x14ac:dyDescent="0.3">
      <c r="P87"/>
      <c r="Q87"/>
    </row>
    <row r="88" spans="16:17" x14ac:dyDescent="0.3">
      <c r="P88"/>
      <c r="Q88"/>
    </row>
    <row r="89" spans="16:17" x14ac:dyDescent="0.3">
      <c r="P89"/>
      <c r="Q89"/>
    </row>
    <row r="90" spans="16:17" x14ac:dyDescent="0.3">
      <c r="P90"/>
      <c r="Q90"/>
    </row>
    <row r="91" spans="16:17" x14ac:dyDescent="0.3">
      <c r="P91"/>
      <c r="Q91"/>
    </row>
    <row r="92" spans="16:17" x14ac:dyDescent="0.3">
      <c r="P92"/>
      <c r="Q92"/>
    </row>
    <row r="93" spans="16:17" x14ac:dyDescent="0.3">
      <c r="P93"/>
      <c r="Q93"/>
    </row>
    <row r="94" spans="16:17" x14ac:dyDescent="0.3">
      <c r="P94"/>
      <c r="Q94"/>
    </row>
    <row r="95" spans="16:17" x14ac:dyDescent="0.3">
      <c r="P95"/>
      <c r="Q95"/>
    </row>
    <row r="96" spans="16:17" x14ac:dyDescent="0.3">
      <c r="P96"/>
      <c r="Q96"/>
    </row>
    <row r="97" spans="16:17" x14ac:dyDescent="0.3">
      <c r="P97"/>
      <c r="Q97"/>
    </row>
    <row r="98" spans="16:17" x14ac:dyDescent="0.3">
      <c r="P98"/>
      <c r="Q98"/>
    </row>
    <row r="99" spans="16:17" x14ac:dyDescent="0.3">
      <c r="P99"/>
      <c r="Q99"/>
    </row>
    <row r="100" spans="16:17" x14ac:dyDescent="0.3">
      <c r="P100"/>
      <c r="Q100"/>
    </row>
    <row r="101" spans="16:17" x14ac:dyDescent="0.3">
      <c r="P101"/>
      <c r="Q101"/>
    </row>
    <row r="102" spans="16:17" x14ac:dyDescent="0.3">
      <c r="P102"/>
      <c r="Q102"/>
    </row>
    <row r="103" spans="16:17" x14ac:dyDescent="0.3">
      <c r="P103"/>
      <c r="Q103"/>
    </row>
    <row r="104" spans="16:17" x14ac:dyDescent="0.3">
      <c r="P104"/>
      <c r="Q104"/>
    </row>
    <row r="105" spans="16:17" x14ac:dyDescent="0.3">
      <c r="P105"/>
      <c r="Q105"/>
    </row>
    <row r="106" spans="16:17" x14ac:dyDescent="0.3">
      <c r="P106"/>
      <c r="Q106"/>
    </row>
    <row r="107" spans="16:17" x14ac:dyDescent="0.3">
      <c r="P107"/>
      <c r="Q107"/>
    </row>
    <row r="108" spans="16:17" x14ac:dyDescent="0.3">
      <c r="P108"/>
      <c r="Q108"/>
    </row>
    <row r="109" spans="16:17" x14ac:dyDescent="0.3">
      <c r="P109"/>
      <c r="Q109"/>
    </row>
    <row r="110" spans="16:17" x14ac:dyDescent="0.3">
      <c r="P110"/>
      <c r="Q110"/>
    </row>
    <row r="111" spans="16:17" x14ac:dyDescent="0.3">
      <c r="P111"/>
      <c r="Q111"/>
    </row>
    <row r="112" spans="16:17" x14ac:dyDescent="0.3">
      <c r="P112"/>
      <c r="Q112"/>
    </row>
    <row r="113" spans="16:17" x14ac:dyDescent="0.3">
      <c r="P113"/>
      <c r="Q113"/>
    </row>
    <row r="114" spans="16:17" x14ac:dyDescent="0.3">
      <c r="P114"/>
      <c r="Q114"/>
    </row>
    <row r="115" spans="16:17" x14ac:dyDescent="0.3">
      <c r="P115"/>
      <c r="Q115"/>
    </row>
    <row r="116" spans="16:17" x14ac:dyDescent="0.3">
      <c r="P116"/>
      <c r="Q116"/>
    </row>
    <row r="117" spans="16:17" x14ac:dyDescent="0.3">
      <c r="P117"/>
      <c r="Q117"/>
    </row>
    <row r="118" spans="16:17" x14ac:dyDescent="0.3">
      <c r="P118"/>
      <c r="Q118"/>
    </row>
    <row r="119" spans="16:17" x14ac:dyDescent="0.3">
      <c r="P119"/>
      <c r="Q119"/>
    </row>
    <row r="120" spans="16:17" x14ac:dyDescent="0.3">
      <c r="P120"/>
      <c r="Q120"/>
    </row>
    <row r="121" spans="16:17" x14ac:dyDescent="0.3">
      <c r="P121"/>
      <c r="Q121"/>
    </row>
    <row r="122" spans="16:17" x14ac:dyDescent="0.3">
      <c r="P122"/>
      <c r="Q122"/>
    </row>
    <row r="123" spans="16:17" x14ac:dyDescent="0.3">
      <c r="P123"/>
      <c r="Q123"/>
    </row>
    <row r="124" spans="16:17" x14ac:dyDescent="0.3">
      <c r="P124"/>
      <c r="Q124"/>
    </row>
    <row r="125" spans="16:17" x14ac:dyDescent="0.3">
      <c r="P125"/>
      <c r="Q125"/>
    </row>
    <row r="126" spans="16:17" x14ac:dyDescent="0.3">
      <c r="P126"/>
      <c r="Q126"/>
    </row>
    <row r="127" spans="16:17" x14ac:dyDescent="0.3">
      <c r="P127"/>
      <c r="Q127"/>
    </row>
    <row r="128" spans="16:17" x14ac:dyDescent="0.3">
      <c r="P128"/>
      <c r="Q128"/>
    </row>
    <row r="129" spans="16:17" x14ac:dyDescent="0.3">
      <c r="P129"/>
      <c r="Q129"/>
    </row>
    <row r="130" spans="16:17" x14ac:dyDescent="0.3">
      <c r="P130"/>
      <c r="Q130"/>
    </row>
    <row r="131" spans="16:17" x14ac:dyDescent="0.3">
      <c r="P131"/>
      <c r="Q131"/>
    </row>
    <row r="132" spans="16:17" x14ac:dyDescent="0.3">
      <c r="P132"/>
      <c r="Q132"/>
    </row>
    <row r="133" spans="16:17" x14ac:dyDescent="0.3">
      <c r="P133"/>
      <c r="Q133"/>
    </row>
    <row r="134" spans="16:17" x14ac:dyDescent="0.3">
      <c r="P134"/>
      <c r="Q134"/>
    </row>
    <row r="135" spans="16:17" x14ac:dyDescent="0.3">
      <c r="P135"/>
      <c r="Q135"/>
    </row>
    <row r="136" spans="16:17" x14ac:dyDescent="0.3">
      <c r="P136"/>
      <c r="Q136"/>
    </row>
    <row r="137" spans="16:17" x14ac:dyDescent="0.3">
      <c r="P137"/>
      <c r="Q137"/>
    </row>
    <row r="138" spans="16:17" x14ac:dyDescent="0.3">
      <c r="P138"/>
      <c r="Q138"/>
    </row>
    <row r="139" spans="16:17" x14ac:dyDescent="0.3">
      <c r="P139"/>
      <c r="Q139"/>
    </row>
    <row r="140" spans="16:17" x14ac:dyDescent="0.3">
      <c r="P140"/>
      <c r="Q140"/>
    </row>
    <row r="141" spans="16:17" x14ac:dyDescent="0.3">
      <c r="P141"/>
      <c r="Q141"/>
    </row>
    <row r="142" spans="16:17" x14ac:dyDescent="0.3">
      <c r="P142"/>
      <c r="Q142"/>
    </row>
    <row r="143" spans="16:17" x14ac:dyDescent="0.3">
      <c r="P143"/>
      <c r="Q143"/>
    </row>
    <row r="144" spans="16:17" x14ac:dyDescent="0.3">
      <c r="P144"/>
      <c r="Q144"/>
    </row>
    <row r="145" spans="16:17" x14ac:dyDescent="0.3">
      <c r="P145"/>
      <c r="Q145"/>
    </row>
    <row r="146" spans="16:17" x14ac:dyDescent="0.3">
      <c r="P146"/>
      <c r="Q146"/>
    </row>
    <row r="147" spans="16:17" x14ac:dyDescent="0.3">
      <c r="P147"/>
      <c r="Q147"/>
    </row>
    <row r="148" spans="16:17" x14ac:dyDescent="0.3">
      <c r="P148"/>
      <c r="Q148"/>
    </row>
    <row r="149" spans="16:17" x14ac:dyDescent="0.3">
      <c r="P149"/>
      <c r="Q149"/>
    </row>
    <row r="150" spans="16:17" x14ac:dyDescent="0.3">
      <c r="P150"/>
      <c r="Q150"/>
    </row>
    <row r="151" spans="16:17" x14ac:dyDescent="0.3">
      <c r="P151"/>
      <c r="Q151"/>
    </row>
    <row r="152" spans="16:17" x14ac:dyDescent="0.3">
      <c r="P152"/>
      <c r="Q152"/>
    </row>
    <row r="153" spans="16:17" x14ac:dyDescent="0.3">
      <c r="P153"/>
      <c r="Q153"/>
    </row>
    <row r="154" spans="16:17" x14ac:dyDescent="0.3">
      <c r="P154"/>
      <c r="Q154"/>
    </row>
    <row r="155" spans="16:17" x14ac:dyDescent="0.3">
      <c r="P155"/>
      <c r="Q155"/>
    </row>
    <row r="156" spans="16:17" x14ac:dyDescent="0.3">
      <c r="P156"/>
      <c r="Q156"/>
    </row>
    <row r="157" spans="16:17" x14ac:dyDescent="0.3">
      <c r="P157"/>
      <c r="Q157"/>
    </row>
    <row r="158" spans="16:17" x14ac:dyDescent="0.3">
      <c r="P158"/>
      <c r="Q158"/>
    </row>
    <row r="159" spans="16:17" x14ac:dyDescent="0.3">
      <c r="P159"/>
      <c r="Q159"/>
    </row>
    <row r="160" spans="16:17" x14ac:dyDescent="0.3">
      <c r="P160"/>
      <c r="Q160"/>
    </row>
    <row r="161" spans="16:17" x14ac:dyDescent="0.3">
      <c r="P161"/>
      <c r="Q161"/>
    </row>
    <row r="162" spans="16:17" x14ac:dyDescent="0.3">
      <c r="P162"/>
      <c r="Q162"/>
    </row>
    <row r="163" spans="16:17" x14ac:dyDescent="0.3">
      <c r="P163"/>
      <c r="Q163"/>
    </row>
    <row r="164" spans="16:17" x14ac:dyDescent="0.3">
      <c r="P164"/>
      <c r="Q164"/>
    </row>
    <row r="165" spans="16:17" x14ac:dyDescent="0.3">
      <c r="P165"/>
      <c r="Q165"/>
    </row>
    <row r="166" spans="16:17" x14ac:dyDescent="0.3">
      <c r="P166"/>
      <c r="Q166"/>
    </row>
    <row r="167" spans="16:17" x14ac:dyDescent="0.3">
      <c r="P167"/>
      <c r="Q167"/>
    </row>
    <row r="168" spans="16:17" x14ac:dyDescent="0.3">
      <c r="P168"/>
      <c r="Q168"/>
    </row>
    <row r="169" spans="16:17" x14ac:dyDescent="0.3">
      <c r="P169"/>
      <c r="Q169"/>
    </row>
    <row r="170" spans="16:17" x14ac:dyDescent="0.3">
      <c r="P170"/>
      <c r="Q170"/>
    </row>
    <row r="171" spans="16:17" x14ac:dyDescent="0.3">
      <c r="P171"/>
      <c r="Q171"/>
    </row>
    <row r="172" spans="16:17" x14ac:dyDescent="0.3">
      <c r="P172"/>
      <c r="Q172"/>
    </row>
    <row r="173" spans="16:17" x14ac:dyDescent="0.3">
      <c r="P173"/>
      <c r="Q173"/>
    </row>
    <row r="174" spans="16:17" x14ac:dyDescent="0.3">
      <c r="P174"/>
      <c r="Q174"/>
    </row>
    <row r="175" spans="16:17" x14ac:dyDescent="0.3">
      <c r="P175"/>
      <c r="Q175"/>
    </row>
    <row r="176" spans="16:17" x14ac:dyDescent="0.3">
      <c r="P176"/>
      <c r="Q176"/>
    </row>
    <row r="177" spans="16:17" x14ac:dyDescent="0.3">
      <c r="P177"/>
      <c r="Q177"/>
    </row>
    <row r="178" spans="16:17" x14ac:dyDescent="0.3">
      <c r="P178"/>
      <c r="Q178"/>
    </row>
    <row r="179" spans="16:17" x14ac:dyDescent="0.3">
      <c r="P179"/>
      <c r="Q179"/>
    </row>
    <row r="180" spans="16:17" x14ac:dyDescent="0.3">
      <c r="P180"/>
      <c r="Q180"/>
    </row>
    <row r="181" spans="16:17" x14ac:dyDescent="0.3">
      <c r="P181"/>
      <c r="Q181"/>
    </row>
    <row r="182" spans="16:17" x14ac:dyDescent="0.3">
      <c r="P182"/>
      <c r="Q182"/>
    </row>
    <row r="183" spans="16:17" x14ac:dyDescent="0.3">
      <c r="P183"/>
      <c r="Q183"/>
    </row>
    <row r="184" spans="16:17" x14ac:dyDescent="0.3">
      <c r="P184"/>
      <c r="Q184"/>
    </row>
    <row r="185" spans="16:17" x14ac:dyDescent="0.3">
      <c r="P185"/>
      <c r="Q185"/>
    </row>
    <row r="186" spans="16:17" x14ac:dyDescent="0.3">
      <c r="P186"/>
      <c r="Q186"/>
    </row>
    <row r="187" spans="16:17" x14ac:dyDescent="0.3">
      <c r="P187"/>
      <c r="Q187"/>
    </row>
    <row r="188" spans="16:17" x14ac:dyDesce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r="191" spans="16:17" x14ac:dyDescent="0.3">
      <c r="P191"/>
      <c r="Q191"/>
    </row>
    <row r="192" spans="16:17" x14ac:dyDescent="0.3">
      <c r="P192"/>
      <c r="Q192"/>
    </row>
    <row r="193" spans="16:17" x14ac:dyDescent="0.3">
      <c r="P193"/>
      <c r="Q193"/>
    </row>
    <row r="194" spans="16:17" x14ac:dyDescent="0.3">
      <c r="P194"/>
      <c r="Q194"/>
    </row>
    <row r="195" spans="16:17" x14ac:dyDescent="0.3">
      <c r="P195"/>
      <c r="Q195"/>
    </row>
    <row r="196" spans="16:17" x14ac:dyDescent="0.3">
      <c r="P196"/>
      <c r="Q196"/>
    </row>
    <row r="197" spans="16:17" x14ac:dyDescent="0.3">
      <c r="P197"/>
      <c r="Q197"/>
    </row>
    <row r="198" spans="16:17" x14ac:dyDescent="0.3">
      <c r="P198"/>
      <c r="Q198"/>
    </row>
    <row r="199" spans="16:17" x14ac:dyDescent="0.3">
      <c r="P199"/>
      <c r="Q199"/>
    </row>
    <row r="200" spans="16:17" x14ac:dyDescent="0.3">
      <c r="P200"/>
      <c r="Q200"/>
    </row>
    <row r="201" spans="16:17" x14ac:dyDescent="0.3">
      <c r="P201"/>
      <c r="Q201"/>
    </row>
    <row r="202" spans="16:17" x14ac:dyDescent="0.3">
      <c r="P202"/>
      <c r="Q202"/>
    </row>
    <row r="203" spans="16:17" x14ac:dyDescent="0.3">
      <c r="P203"/>
      <c r="Q203"/>
    </row>
    <row r="204" spans="16:17" x14ac:dyDescent="0.3">
      <c r="P204"/>
      <c r="Q204"/>
    </row>
    <row r="205" spans="16:17" x14ac:dyDescent="0.3">
      <c r="P205"/>
      <c r="Q205"/>
    </row>
    <row r="206" spans="16:17" x14ac:dyDescent="0.3">
      <c r="P206"/>
      <c r="Q206"/>
    </row>
    <row r="207" spans="16:17" x14ac:dyDescent="0.3">
      <c r="P207"/>
      <c r="Q207"/>
    </row>
    <row r="208" spans="16:17" x14ac:dyDescent="0.3">
      <c r="P208"/>
      <c r="Q208"/>
    </row>
    <row r="209" spans="16:17" x14ac:dyDescent="0.3">
      <c r="P209"/>
      <c r="Q209"/>
    </row>
    <row r="210" spans="16:17" x14ac:dyDescent="0.3">
      <c r="P210"/>
      <c r="Q210"/>
    </row>
    <row r="211" spans="16:17" x14ac:dyDescent="0.3">
      <c r="P211"/>
      <c r="Q211"/>
    </row>
    <row r="212" spans="16:17" x14ac:dyDescent="0.3">
      <c r="P212"/>
      <c r="Q212"/>
    </row>
    <row r="213" spans="16:17" x14ac:dyDescent="0.3">
      <c r="P213"/>
      <c r="Q213"/>
    </row>
    <row r="214" spans="16:17" x14ac:dyDescent="0.3">
      <c r="P214"/>
      <c r="Q214"/>
    </row>
    <row r="215" spans="16:17" x14ac:dyDescent="0.3">
      <c r="P215"/>
      <c r="Q215"/>
    </row>
    <row r="216" spans="16:17" x14ac:dyDescent="0.3">
      <c r="P216"/>
      <c r="Q216"/>
    </row>
    <row r="217" spans="16:17" x14ac:dyDescent="0.3">
      <c r="P217"/>
      <c r="Q217"/>
    </row>
    <row r="218" spans="16:17" x14ac:dyDescent="0.3">
      <c r="P218"/>
      <c r="Q218"/>
    </row>
    <row r="219" spans="16:17" x14ac:dyDescent="0.3">
      <c r="P219"/>
      <c r="Q219"/>
    </row>
    <row r="220" spans="16:17" x14ac:dyDescent="0.3">
      <c r="P220"/>
      <c r="Q220"/>
    </row>
    <row r="221" spans="16:17" x14ac:dyDescent="0.3">
      <c r="P221"/>
      <c r="Q221"/>
    </row>
    <row r="222" spans="16:17" x14ac:dyDescent="0.3">
      <c r="P222"/>
      <c r="Q222"/>
    </row>
    <row r="223" spans="16:17" x14ac:dyDescent="0.3">
      <c r="P223"/>
      <c r="Q223"/>
    </row>
    <row r="224" spans="16:17" x14ac:dyDescent="0.3">
      <c r="P224"/>
      <c r="Q224"/>
    </row>
    <row r="225" spans="16:17" x14ac:dyDescent="0.3">
      <c r="P225"/>
      <c r="Q225"/>
    </row>
    <row r="226" spans="16:17" x14ac:dyDescent="0.3">
      <c r="P226"/>
      <c r="Q226"/>
    </row>
    <row r="227" spans="16:17" x14ac:dyDescent="0.3">
      <c r="P227"/>
      <c r="Q227"/>
    </row>
    <row r="228" spans="16:17" x14ac:dyDescent="0.3">
      <c r="P228"/>
      <c r="Q228"/>
    </row>
    <row r="229" spans="16:17" x14ac:dyDescent="0.3">
      <c r="P229"/>
      <c r="Q229"/>
    </row>
    <row r="230" spans="16:17" x14ac:dyDescent="0.3">
      <c r="P230"/>
      <c r="Q230"/>
    </row>
    <row r="231" spans="16:17" x14ac:dyDescent="0.3">
      <c r="P231"/>
      <c r="Q231"/>
    </row>
    <row r="232" spans="16:17" x14ac:dyDescent="0.3">
      <c r="P232"/>
      <c r="Q232"/>
    </row>
    <row r="233" spans="16:17" x14ac:dyDescent="0.3">
      <c r="P233"/>
      <c r="Q233"/>
    </row>
    <row r="234" spans="16:17" x14ac:dyDescent="0.3">
      <c r="P234"/>
      <c r="Q234"/>
    </row>
    <row r="235" spans="16:17" x14ac:dyDescent="0.3">
      <c r="P235"/>
      <c r="Q235"/>
    </row>
    <row r="236" spans="16:17" x14ac:dyDescent="0.3">
      <c r="P236"/>
      <c r="Q236"/>
    </row>
    <row r="237" spans="16:17" x14ac:dyDescent="0.3">
      <c r="P237"/>
      <c r="Q237"/>
    </row>
    <row r="238" spans="16:17" x14ac:dyDescent="0.3">
      <c r="P238"/>
      <c r="Q238"/>
    </row>
    <row r="239" spans="16:17" x14ac:dyDescent="0.3">
      <c r="P239"/>
      <c r="Q239"/>
    </row>
    <row r="240" spans="16:17" x14ac:dyDescent="0.3">
      <c r="P240"/>
      <c r="Q240"/>
    </row>
    <row r="241" spans="16:17" x14ac:dyDescent="0.3">
      <c r="P241"/>
      <c r="Q241"/>
    </row>
    <row r="242" spans="16:17" x14ac:dyDescent="0.3">
      <c r="P242"/>
      <c r="Q242"/>
    </row>
    <row r="243" spans="16:17" x14ac:dyDescent="0.3">
      <c r="P243"/>
      <c r="Q243"/>
    </row>
    <row r="244" spans="16:17" x14ac:dyDescent="0.3">
      <c r="P244"/>
      <c r="Q244"/>
    </row>
    <row r="245" spans="16:17" x14ac:dyDescent="0.3">
      <c r="P245"/>
      <c r="Q245"/>
    </row>
    <row r="246" spans="16:17" x14ac:dyDescent="0.3">
      <c r="P246"/>
      <c r="Q246"/>
    </row>
    <row r="247" spans="16:17" x14ac:dyDescent="0.3">
      <c r="P247"/>
      <c r="Q247"/>
    </row>
    <row r="248" spans="16:17" x14ac:dyDescent="0.3">
      <c r="P248"/>
      <c r="Q248"/>
    </row>
    <row r="249" spans="16:17" x14ac:dyDescent="0.3">
      <c r="P249"/>
      <c r="Q249"/>
    </row>
    <row r="250" spans="16:17" x14ac:dyDescent="0.3">
      <c r="P250"/>
      <c r="Q250"/>
    </row>
    <row r="251" spans="16:17" x14ac:dyDescent="0.3">
      <c r="P251"/>
      <c r="Q251"/>
    </row>
    <row r="252" spans="16:17" x14ac:dyDescent="0.3">
      <c r="P252"/>
      <c r="Q252"/>
    </row>
    <row r="253" spans="16:17" x14ac:dyDescent="0.3">
      <c r="P253"/>
      <c r="Q253"/>
    </row>
    <row r="254" spans="16:17" x14ac:dyDescent="0.3">
      <c r="P254"/>
      <c r="Q254"/>
    </row>
    <row r="255" spans="16:17" x14ac:dyDescent="0.3">
      <c r="P255"/>
      <c r="Q255"/>
    </row>
    <row r="256" spans="16:17" x14ac:dyDescent="0.3">
      <c r="P256"/>
      <c r="Q256"/>
    </row>
    <row r="257" spans="16:17" x14ac:dyDescent="0.3">
      <c r="P257"/>
      <c r="Q257"/>
    </row>
    <row r="258" spans="16:17" x14ac:dyDescent="0.3">
      <c r="P258"/>
      <c r="Q258"/>
    </row>
    <row r="259" spans="16:17" x14ac:dyDescent="0.3">
      <c r="P259"/>
      <c r="Q259"/>
    </row>
    <row r="260" spans="16:17" x14ac:dyDescent="0.3">
      <c r="P260"/>
      <c r="Q260"/>
    </row>
    <row r="261" spans="16:17" x14ac:dyDescent="0.3">
      <c r="P261"/>
      <c r="Q261"/>
    </row>
    <row r="262" spans="16:17" x14ac:dyDescent="0.3">
      <c r="P262"/>
      <c r="Q262"/>
    </row>
    <row r="263" spans="16:17" x14ac:dyDescent="0.3">
      <c r="P263"/>
      <c r="Q263"/>
    </row>
    <row r="264" spans="16:17" x14ac:dyDescent="0.3">
      <c r="P264"/>
      <c r="Q264"/>
    </row>
    <row r="265" spans="16:17" x14ac:dyDescent="0.3">
      <c r="P265"/>
      <c r="Q265"/>
    </row>
    <row r="266" spans="16:17" x14ac:dyDescent="0.3">
      <c r="P266"/>
      <c r="Q266"/>
    </row>
    <row r="267" spans="16:17" x14ac:dyDescent="0.3">
      <c r="P267"/>
      <c r="Q267"/>
    </row>
    <row r="268" spans="16:17" x14ac:dyDescent="0.3">
      <c r="P268"/>
      <c r="Q268"/>
    </row>
    <row r="269" spans="16:17" x14ac:dyDescent="0.3">
      <c r="P269"/>
      <c r="Q269"/>
    </row>
    <row r="270" spans="16:17" x14ac:dyDescent="0.3">
      <c r="P270"/>
      <c r="Q270"/>
    </row>
    <row r="271" spans="16:17" x14ac:dyDescent="0.3">
      <c r="P271"/>
      <c r="Q271"/>
    </row>
    <row r="272" spans="16:17" x14ac:dyDescent="0.3">
      <c r="P272"/>
      <c r="Q272"/>
    </row>
    <row r="273" spans="16:17" x14ac:dyDescent="0.3">
      <c r="P273"/>
      <c r="Q273"/>
    </row>
    <row r="274" spans="16:17" x14ac:dyDescent="0.3">
      <c r="P274"/>
      <c r="Q274"/>
    </row>
    <row r="275" spans="16:17" x14ac:dyDescent="0.3">
      <c r="P275"/>
      <c r="Q275"/>
    </row>
    <row r="276" spans="16:17" x14ac:dyDescent="0.3">
      <c r="P276"/>
      <c r="Q276"/>
    </row>
    <row r="277" spans="16:17" x14ac:dyDescent="0.3">
      <c r="P277"/>
      <c r="Q277"/>
    </row>
    <row r="278" spans="16:17" x14ac:dyDescent="0.3">
      <c r="P278"/>
      <c r="Q278"/>
    </row>
    <row r="279" spans="16:17" x14ac:dyDescent="0.3">
      <c r="P279"/>
      <c r="Q279"/>
    </row>
    <row r="280" spans="16:17" x14ac:dyDescent="0.3">
      <c r="P280"/>
      <c r="Q280"/>
    </row>
    <row r="281" spans="16:17" x14ac:dyDescent="0.3">
      <c r="P281"/>
      <c r="Q281"/>
    </row>
    <row r="282" spans="16:17" x14ac:dyDescent="0.3">
      <c r="P282"/>
      <c r="Q282"/>
    </row>
    <row r="283" spans="16:17" x14ac:dyDescent="0.3">
      <c r="P283"/>
      <c r="Q283"/>
    </row>
    <row r="284" spans="16:17" x14ac:dyDescent="0.3">
      <c r="P284"/>
      <c r="Q284"/>
    </row>
    <row r="285" spans="16:17" x14ac:dyDescent="0.3">
      <c r="P285"/>
      <c r="Q285"/>
    </row>
    <row r="286" spans="16:17" x14ac:dyDescent="0.3">
      <c r="P286"/>
      <c r="Q286"/>
    </row>
    <row r="287" spans="16:17" x14ac:dyDescent="0.3">
      <c r="P287"/>
      <c r="Q287"/>
    </row>
    <row r="288" spans="16:17" x14ac:dyDescent="0.3">
      <c r="P288"/>
      <c r="Q288"/>
    </row>
    <row r="289" spans="16:17" x14ac:dyDescent="0.3">
      <c r="P289"/>
      <c r="Q289"/>
    </row>
    <row r="290" spans="16:17" x14ac:dyDescent="0.3">
      <c r="P290"/>
      <c r="Q290"/>
    </row>
    <row r="291" spans="16:17" x14ac:dyDescent="0.3">
      <c r="P291"/>
      <c r="Q291"/>
    </row>
    <row r="292" spans="16:17" x14ac:dyDescent="0.3">
      <c r="P292"/>
      <c r="Q292"/>
    </row>
    <row r="293" spans="16:17" x14ac:dyDescent="0.3">
      <c r="P293"/>
      <c r="Q293"/>
    </row>
    <row r="294" spans="16:17" x14ac:dyDescent="0.3">
      <c r="P294"/>
      <c r="Q294"/>
    </row>
    <row r="295" spans="16:17" x14ac:dyDescent="0.3">
      <c r="P295"/>
      <c r="Q295"/>
    </row>
    <row r="296" spans="16:17" x14ac:dyDescent="0.3">
      <c r="P296"/>
      <c r="Q296"/>
    </row>
    <row r="297" spans="16:17" x14ac:dyDescent="0.3">
      <c r="P297"/>
      <c r="Q297"/>
    </row>
    <row r="298" spans="16:17" x14ac:dyDescent="0.3">
      <c r="P298"/>
      <c r="Q298"/>
    </row>
    <row r="299" spans="16:17" x14ac:dyDescent="0.3">
      <c r="P299"/>
      <c r="Q299"/>
    </row>
    <row r="300" spans="16:17" x14ac:dyDescent="0.3">
      <c r="P300"/>
      <c r="Q300"/>
    </row>
    <row r="301" spans="16:17" x14ac:dyDescent="0.3">
      <c r="P301"/>
      <c r="Q301"/>
    </row>
    <row r="302" spans="16:17" x14ac:dyDescent="0.3">
      <c r="P302"/>
      <c r="Q302"/>
    </row>
    <row r="303" spans="16:17" x14ac:dyDescent="0.3">
      <c r="P303"/>
      <c r="Q303"/>
    </row>
    <row r="304" spans="16:17" x14ac:dyDescent="0.3">
      <c r="P304"/>
      <c r="Q304"/>
    </row>
    <row r="305" spans="16:17" x14ac:dyDescent="0.3">
      <c r="P305"/>
      <c r="Q305"/>
    </row>
    <row r="306" spans="16:17" x14ac:dyDescent="0.3">
      <c r="P306"/>
      <c r="Q306"/>
    </row>
    <row r="307" spans="16:17" x14ac:dyDescent="0.3">
      <c r="P307"/>
      <c r="Q307"/>
    </row>
    <row r="308" spans="16:17" x14ac:dyDescent="0.3">
      <c r="P308"/>
      <c r="Q308"/>
    </row>
    <row r="309" spans="16:17" x14ac:dyDescent="0.3">
      <c r="P309"/>
      <c r="Q309"/>
    </row>
    <row r="310" spans="16:17" x14ac:dyDescent="0.3">
      <c r="P310"/>
      <c r="Q310"/>
    </row>
    <row r="311" spans="16:17" x14ac:dyDescent="0.3">
      <c r="P311"/>
      <c r="Q311"/>
    </row>
    <row r="312" spans="16:17" x14ac:dyDescent="0.3">
      <c r="P312"/>
      <c r="Q312"/>
    </row>
    <row r="313" spans="16:17" x14ac:dyDescent="0.3">
      <c r="P313"/>
      <c r="Q313"/>
    </row>
    <row r="314" spans="16:17" x14ac:dyDescent="0.3">
      <c r="P314"/>
      <c r="Q314"/>
    </row>
    <row r="315" spans="16:17" x14ac:dyDescent="0.3">
      <c r="P315"/>
      <c r="Q315"/>
    </row>
    <row r="316" spans="16:17" x14ac:dyDescent="0.3">
      <c r="P316"/>
      <c r="Q316"/>
    </row>
    <row r="317" spans="16:17" x14ac:dyDescent="0.3">
      <c r="P317"/>
      <c r="Q317"/>
    </row>
    <row r="318" spans="16:17" x14ac:dyDescent="0.3">
      <c r="P318"/>
      <c r="Q318"/>
    </row>
    <row r="319" spans="16:17" x14ac:dyDescent="0.3">
      <c r="P319"/>
      <c r="Q319"/>
    </row>
    <row r="320" spans="16:17" x14ac:dyDescent="0.3">
      <c r="P320"/>
      <c r="Q320"/>
    </row>
    <row r="321" spans="16:17" x14ac:dyDescent="0.3">
      <c r="P321"/>
      <c r="Q321"/>
    </row>
    <row r="322" spans="16:17" x14ac:dyDescent="0.3">
      <c r="P322"/>
      <c r="Q322"/>
    </row>
    <row r="323" spans="16:17" x14ac:dyDescent="0.3">
      <c r="P323"/>
      <c r="Q323"/>
    </row>
    <row r="324" spans="16:17" x14ac:dyDescent="0.3">
      <c r="P324"/>
      <c r="Q324"/>
    </row>
    <row r="325" spans="16:17" x14ac:dyDescent="0.3">
      <c r="P325"/>
      <c r="Q325"/>
    </row>
    <row r="326" spans="16:17" x14ac:dyDescent="0.3">
      <c r="P326"/>
      <c r="Q326"/>
    </row>
    <row r="327" spans="16:17" x14ac:dyDescent="0.3">
      <c r="P327"/>
      <c r="Q327"/>
    </row>
    <row r="328" spans="16:17" x14ac:dyDescent="0.3">
      <c r="P328"/>
      <c r="Q328"/>
    </row>
    <row r="329" spans="16:17" x14ac:dyDescent="0.3">
      <c r="P329"/>
      <c r="Q329"/>
    </row>
    <row r="330" spans="16:17" x14ac:dyDescent="0.3">
      <c r="P330"/>
      <c r="Q330"/>
    </row>
    <row r="331" spans="16:17" x14ac:dyDescent="0.3">
      <c r="P331"/>
      <c r="Q331"/>
    </row>
    <row r="332" spans="16:17" x14ac:dyDescent="0.3">
      <c r="P332"/>
      <c r="Q332"/>
    </row>
    <row r="333" spans="16:17" x14ac:dyDescent="0.3">
      <c r="P333"/>
      <c r="Q333"/>
    </row>
    <row r="334" spans="16:17" x14ac:dyDescent="0.3">
      <c r="P334"/>
      <c r="Q334"/>
    </row>
    <row r="335" spans="16:17" x14ac:dyDescent="0.3">
      <c r="P335"/>
      <c r="Q335"/>
    </row>
    <row r="336" spans="16:17" x14ac:dyDescent="0.3">
      <c r="P336"/>
      <c r="Q336"/>
    </row>
    <row r="337" spans="16:17" x14ac:dyDescent="0.3">
      <c r="P337"/>
      <c r="Q337"/>
    </row>
    <row r="338" spans="16:17" x14ac:dyDescent="0.3">
      <c r="P338"/>
      <c r="Q338"/>
    </row>
    <row r="339" spans="16:17" x14ac:dyDescent="0.3">
      <c r="P339"/>
      <c r="Q339"/>
    </row>
    <row r="340" spans="16:17" x14ac:dyDescent="0.3">
      <c r="P340"/>
      <c r="Q340"/>
    </row>
    <row r="341" spans="16:17" x14ac:dyDescent="0.3">
      <c r="P341"/>
      <c r="Q341"/>
    </row>
    <row r="342" spans="16:17" x14ac:dyDescent="0.3">
      <c r="P342"/>
      <c r="Q342"/>
    </row>
    <row r="343" spans="16:17" x14ac:dyDescent="0.3">
      <c r="P343"/>
      <c r="Q343"/>
    </row>
    <row r="344" spans="16:17" x14ac:dyDescent="0.3">
      <c r="P344"/>
      <c r="Q344"/>
    </row>
    <row r="345" spans="16:17" x14ac:dyDescent="0.3">
      <c r="P345"/>
      <c r="Q345"/>
    </row>
    <row r="346" spans="16:17" x14ac:dyDescent="0.3">
      <c r="P346"/>
      <c r="Q346"/>
    </row>
    <row r="347" spans="16:17" x14ac:dyDescent="0.3">
      <c r="P347"/>
      <c r="Q347"/>
    </row>
    <row r="348" spans="16:17" x14ac:dyDescent="0.3">
      <c r="P348"/>
      <c r="Q348"/>
    </row>
    <row r="349" spans="16:17" x14ac:dyDescent="0.3">
      <c r="P349"/>
      <c r="Q349"/>
    </row>
    <row r="350" spans="16:17" x14ac:dyDescent="0.3">
      <c r="P350"/>
      <c r="Q350"/>
    </row>
    <row r="351" spans="16:17" x14ac:dyDescent="0.3">
      <c r="P351"/>
      <c r="Q351"/>
    </row>
    <row r="352" spans="16:17" x14ac:dyDescent="0.3">
      <c r="P352"/>
      <c r="Q352"/>
    </row>
  </sheetData>
  <mergeCells count="9">
    <mergeCell ref="N23:O23"/>
    <mergeCell ref="K47:L47"/>
    <mergeCell ref="B1:O1"/>
    <mergeCell ref="B3:G3"/>
    <mergeCell ref="K3:O3"/>
    <mergeCell ref="B12:C12"/>
    <mergeCell ref="K21:K22"/>
    <mergeCell ref="L21:L22"/>
    <mergeCell ref="N37:O37"/>
  </mergeCell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Recruiting Dash 03.20.2026</vt:lpstr>
      <vt:lpstr>Recruiting Dash 03.13.2026</vt:lpstr>
      <vt:lpstr>Recruiting Dash 03.06.2026</vt:lpstr>
      <vt:lpstr>Recruiting Dash 02.27.2026</vt:lpstr>
      <vt:lpstr>Recruiting Dash 02.20.2026</vt:lpstr>
      <vt:lpstr>Recruiting Dash 02.13.2026</vt:lpstr>
      <vt:lpstr>Recruiting Dash 02.06.2026</vt:lpstr>
      <vt:lpstr>Recruiting Dash 01.30.2026</vt:lpstr>
      <vt:lpstr>Recruiting Dash 01.23.2026</vt:lpstr>
      <vt:lpstr>Recruiting Dash 01.16.2026</vt:lpstr>
      <vt:lpstr>Recruiting Dash 01.09.2026</vt:lpstr>
      <vt:lpstr>Recruiting Dash 01.02.2026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Celina Aguilar</dc:creator>
  <cp:lastModifiedBy>Tara Rogers</cp:lastModifiedBy>
  <dcterms:created xsi:type="dcterms:W3CDTF">2024-01-05T21:55:33Z</dcterms:created>
  <dcterms:modified xsi:type="dcterms:W3CDTF">2026-03-24T23:48:44Z</dcterms:modified>
</cp:coreProperties>
</file>